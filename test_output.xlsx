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2760" yWindow="32760" windowWidth="20490" windowHeight="9675" tabRatio="856"/>
  </bookViews>
  <sheets>
    <sheet name="ВВОД" sheetId="1" r:id="rId1"/>
    <sheet name="ProjCost" sheetId="2" r:id="rId2"/>
    <sheet name="FinPlan" sheetId="3" r:id="rId3"/>
    <sheet name="Share of Costs" sheetId="4" r:id="rId4"/>
    <sheet name="Depreciate" sheetId="5" r:id="rId5"/>
    <sheet name="Labour" sheetId="6" r:id="rId6"/>
    <sheet name="ProdPlan" sheetId="7" r:id="rId7"/>
    <sheet name="Loans" sheetId="8" r:id="rId8"/>
    <sheet name="Taxes" sheetId="9" r:id="rId9"/>
    <sheet name="Loans 2" sheetId="10" state="hidden" r:id="rId10"/>
    <sheet name="CostTotal" sheetId="11" r:id="rId11"/>
    <sheet name="CostSold" sheetId="12" r:id="rId12"/>
    <sheet name="ProfLoss" sheetId="13" r:id="rId13"/>
    <sheet name="CashFlow" sheetId="14" r:id="rId14"/>
    <sheet name="npv" sheetId="15" r:id="rId15"/>
  </sheets>
  <externalReferences>
    <externalReference r:id="rId16"/>
    <externalReference r:id="rId17"/>
  </externalReferences>
  <definedNames>
    <definedName name="Print_Area" localSheetId="13">CashFlow!$B$1:$J$27</definedName>
    <definedName name="Print_Area" localSheetId="11">CostSold!$B$1:$I$21</definedName>
    <definedName name="Print_Area" localSheetId="10">CostTotal!$B$1:$G$19</definedName>
    <definedName name="Print_Area" localSheetId="4">Depreciate!$A$1:$K$9</definedName>
    <definedName name="Print_Area" localSheetId="2">FinPlan!$B$1:$G$10</definedName>
    <definedName name="Print_Area" localSheetId="5">Labour!$A$2:$F$33</definedName>
    <definedName name="Print_Area" localSheetId="7">Loans!$A$1:$F$96</definedName>
    <definedName name="Print_Area" localSheetId="14">npv!$B$3:$E$19</definedName>
    <definedName name="Print_Area" localSheetId="6">ProdPlan!$A$1:$I$58</definedName>
    <definedName name="Print_Area" localSheetId="12">ProfLoss!$A$1:$I$20</definedName>
    <definedName name="Print_Area" localSheetId="1">ProjCost!$B$1:$G$13</definedName>
    <definedName name="Print_Area" localSheetId="3">'Share of Costs'!$B$2:$G$15</definedName>
    <definedName name="Print_Area" localSheetId="8">Taxes!$B$1:$K$17</definedName>
    <definedName name="Амортизац">#REF!</definedName>
    <definedName name="Дата_первой_выплаты">#REF!</definedName>
    <definedName name="Кредит_Б__в_USD">#REF!</definedName>
    <definedName name="Курс_0198">'[1]Поток реальных денег'!#REF!</definedName>
    <definedName name="Курс_USD" localSheetId="14">#REF!</definedName>
    <definedName name="Курс_USD">#REF!</definedName>
    <definedName name="Льготный_период" localSheetId="14">#REF!</definedName>
    <definedName name="Льготный_период">#REF!</definedName>
    <definedName name="Местные_продажи">#REF!</definedName>
    <definedName name="Объем" localSheetId="14">#REF!</definedName>
    <definedName name="Объем">#REF!</definedName>
    <definedName name="объем100" localSheetId="14">#REF!</definedName>
    <definedName name="объем100">#REF!</definedName>
    <definedName name="П\роцентная_ставка">#REF!</definedName>
    <definedName name="процент_на_маркетинг">#REF!</definedName>
    <definedName name="Срок_пользования_кредитом">#REF!</definedName>
    <definedName name="ст.пр.">#REF!</definedName>
    <definedName name="ЦенаЗаЕд.">#REF!</definedName>
    <definedName name="ценмест">#REF!</definedName>
    <definedName name="ценэксп">#REF!</definedName>
    <definedName name="Экспорт">#REF!</definedName>
  </definedNames>
  <calcPr calcId="145621"/>
</workbook>
</file>

<file path=xl/calcChain.xml><?xml version="1.0" encoding="utf-8"?>
<calcChain xmlns="http://schemas.openxmlformats.org/spreadsheetml/2006/main">
  <c r="E19" i="15" l="1"/>
  <c r="E13" i="15"/>
  <c r="C12" i="15"/>
  <c r="C11" i="15"/>
  <c r="C10" i="15"/>
  <c r="C9" i="15"/>
  <c r="C8" i="15"/>
  <c r="D7" i="15"/>
  <c r="D8" i="15" s="1"/>
  <c r="C7" i="15"/>
  <c r="C6" i="15"/>
  <c r="E15" i="15" s="1"/>
  <c r="E22" i="14"/>
  <c r="D22" i="14"/>
  <c r="C7" i="14"/>
  <c r="C9" i="14" s="1"/>
  <c r="C14" i="14" s="1"/>
  <c r="F5" i="14"/>
  <c r="D5" i="14"/>
  <c r="C5" i="14"/>
  <c r="B5" i="14"/>
  <c r="F16" i="13"/>
  <c r="E16" i="13"/>
  <c r="D16" i="13"/>
  <c r="C16" i="13"/>
  <c r="F5" i="13"/>
  <c r="G5" i="14" s="1"/>
  <c r="E5" i="13"/>
  <c r="D5" i="13"/>
  <c r="E5" i="14" s="1"/>
  <c r="C5" i="13"/>
  <c r="B16" i="12"/>
  <c r="B14" i="12"/>
  <c r="B13" i="12"/>
  <c r="B11" i="12"/>
  <c r="B8" i="12"/>
  <c r="B7" i="12"/>
  <c r="B12" i="12" s="1"/>
  <c r="B6" i="12"/>
  <c r="B5" i="12"/>
  <c r="I4" i="12"/>
  <c r="H4" i="12"/>
  <c r="G4" i="12"/>
  <c r="F4" i="12"/>
  <c r="E4" i="12"/>
  <c r="D4" i="12"/>
  <c r="C4" i="12"/>
  <c r="K18" i="11"/>
  <c r="G16" i="11"/>
  <c r="G15" i="11"/>
  <c r="G14" i="11"/>
  <c r="G13" i="11"/>
  <c r="G12" i="11"/>
  <c r="B12" i="11"/>
  <c r="G11" i="11"/>
  <c r="G10" i="11"/>
  <c r="G9" i="11"/>
  <c r="G8" i="11"/>
  <c r="G7" i="11"/>
  <c r="G5" i="11"/>
  <c r="F90" i="10"/>
  <c r="C90" i="10"/>
  <c r="C91" i="10" s="1"/>
  <c r="F89" i="10"/>
  <c r="C84" i="10"/>
  <c r="F83" i="10"/>
  <c r="F78" i="10"/>
  <c r="C78" i="10"/>
  <c r="C79" i="10" s="1"/>
  <c r="F77" i="10"/>
  <c r="C72" i="10"/>
  <c r="F71" i="10"/>
  <c r="C69" i="10"/>
  <c r="F69" i="10" s="1"/>
  <c r="C68" i="10"/>
  <c r="F68" i="10" s="1"/>
  <c r="C66" i="10"/>
  <c r="C67" i="10" s="1"/>
  <c r="F67" i="10" s="1"/>
  <c r="F65" i="10"/>
  <c r="C61" i="10"/>
  <c r="C62" i="10" s="1"/>
  <c r="F62" i="10" s="1"/>
  <c r="F60" i="10"/>
  <c r="C60" i="10"/>
  <c r="F59" i="10"/>
  <c r="C57" i="10"/>
  <c r="F57" i="10" s="1"/>
  <c r="F55" i="10"/>
  <c r="C55" i="10"/>
  <c r="C56" i="10" s="1"/>
  <c r="F56" i="10" s="1"/>
  <c r="C54" i="10"/>
  <c r="F54" i="10" s="1"/>
  <c r="F53" i="10"/>
  <c r="C51" i="10"/>
  <c r="F51" i="10" s="1"/>
  <c r="F49" i="10"/>
  <c r="C49" i="10"/>
  <c r="C50" i="10" s="1"/>
  <c r="F50" i="10" s="1"/>
  <c r="F48" i="10"/>
  <c r="C48" i="10"/>
  <c r="F47" i="10"/>
  <c r="C43" i="10"/>
  <c r="C44" i="10" s="1"/>
  <c r="F44" i="10" s="1"/>
  <c r="C42" i="10"/>
  <c r="F42" i="10" s="1"/>
  <c r="F41" i="10"/>
  <c r="C37" i="10"/>
  <c r="F36" i="10"/>
  <c r="C36" i="10"/>
  <c r="F35" i="10"/>
  <c r="F21" i="10"/>
  <c r="C21" i="10"/>
  <c r="F20" i="10"/>
  <c r="F19" i="10"/>
  <c r="F18" i="10"/>
  <c r="F17" i="10"/>
  <c r="F15" i="10"/>
  <c r="F14" i="10"/>
  <c r="F13" i="10"/>
  <c r="F12" i="10"/>
  <c r="F11" i="10"/>
  <c r="K8" i="9"/>
  <c r="J8" i="9"/>
  <c r="I8" i="9"/>
  <c r="H8" i="9"/>
  <c r="G8" i="9"/>
  <c r="F8" i="9"/>
  <c r="E8" i="9"/>
  <c r="H3" i="9"/>
  <c r="G3" i="9"/>
  <c r="F3" i="9"/>
  <c r="E3" i="9"/>
  <c r="D9" i="8"/>
  <c r="D6" i="8"/>
  <c r="D5" i="8"/>
  <c r="D3" i="8"/>
  <c r="B47" i="7"/>
  <c r="B55" i="7" s="1"/>
  <c r="I40" i="7"/>
  <c r="G40" i="7"/>
  <c r="G48" i="7" s="1"/>
  <c r="G56" i="7" s="1"/>
  <c r="C40" i="7"/>
  <c r="C48" i="7" s="1"/>
  <c r="C56" i="7" s="1"/>
  <c r="B39" i="7"/>
  <c r="H38" i="7"/>
  <c r="C38" i="7"/>
  <c r="C46" i="7" s="1"/>
  <c r="C54" i="7" s="1"/>
  <c r="D37" i="7"/>
  <c r="B37" i="7"/>
  <c r="B45" i="7" s="1"/>
  <c r="I35" i="7"/>
  <c r="H35" i="7"/>
  <c r="G35" i="7"/>
  <c r="F35" i="7"/>
  <c r="E35" i="7"/>
  <c r="D35" i="7"/>
  <c r="C35" i="7"/>
  <c r="B35" i="7"/>
  <c r="I31" i="7"/>
  <c r="H31" i="7"/>
  <c r="G31" i="7"/>
  <c r="F31" i="7"/>
  <c r="F40" i="7" s="1"/>
  <c r="E31" i="7"/>
  <c r="D31" i="7"/>
  <c r="D40" i="7" s="1"/>
  <c r="D48" i="7" s="1"/>
  <c r="D56" i="7" s="1"/>
  <c r="C31" i="7"/>
  <c r="B31" i="7"/>
  <c r="B40" i="7" s="1"/>
  <c r="E30" i="7"/>
  <c r="I29" i="7"/>
  <c r="I38" i="7" s="1"/>
  <c r="I46" i="7" s="1"/>
  <c r="I54" i="7" s="1"/>
  <c r="H29" i="7"/>
  <c r="G29" i="7"/>
  <c r="D29" i="7"/>
  <c r="D38" i="7" s="1"/>
  <c r="C29" i="7"/>
  <c r="B29" i="7"/>
  <c r="I28" i="7"/>
  <c r="I37" i="7" s="1"/>
  <c r="H28" i="7"/>
  <c r="H37" i="7" s="1"/>
  <c r="G28" i="7"/>
  <c r="E28" i="7"/>
  <c r="E37" i="7" s="1"/>
  <c r="D28" i="7"/>
  <c r="D45" i="7" s="1"/>
  <c r="D53" i="7" s="1"/>
  <c r="C28" i="7"/>
  <c r="G27" i="7"/>
  <c r="B27" i="7"/>
  <c r="I23" i="7"/>
  <c r="H23" i="7"/>
  <c r="G23" i="7"/>
  <c r="F23" i="7"/>
  <c r="E23" i="7"/>
  <c r="D23" i="7"/>
  <c r="C23" i="7"/>
  <c r="F19" i="7"/>
  <c r="D19" i="7"/>
  <c r="F30" i="7" s="1"/>
  <c r="B19" i="7"/>
  <c r="F18" i="7"/>
  <c r="D18" i="7"/>
  <c r="F29" i="7" s="1"/>
  <c r="F38" i="7" s="1"/>
  <c r="F17" i="7"/>
  <c r="D17" i="7"/>
  <c r="F28" i="7" s="1"/>
  <c r="B17" i="7"/>
  <c r="F16" i="7"/>
  <c r="D16" i="7"/>
  <c r="H27" i="7" s="1"/>
  <c r="B15" i="7"/>
  <c r="B43" i="7" s="1"/>
  <c r="B51" i="7" s="1"/>
  <c r="F4" i="7"/>
  <c r="F15" i="7" s="1"/>
  <c r="D4" i="7"/>
  <c r="E4" i="7" s="1"/>
  <c r="C4" i="7"/>
  <c r="B4" i="7"/>
  <c r="F29" i="6"/>
  <c r="D29" i="6"/>
  <c r="D28" i="6"/>
  <c r="F28" i="6" s="1"/>
  <c r="D27" i="6"/>
  <c r="F27" i="6" s="1"/>
  <c r="D26" i="6"/>
  <c r="F26" i="6" s="1"/>
  <c r="F33" i="6" s="1"/>
  <c r="C7" i="11" s="1"/>
  <c r="C20" i="6"/>
  <c r="F17" i="6"/>
  <c r="F18" i="6" s="1"/>
  <c r="E17" i="6"/>
  <c r="E18" i="6" s="1"/>
  <c r="D17" i="6"/>
  <c r="C17" i="6"/>
  <c r="C18" i="6" s="1"/>
  <c r="C15" i="6"/>
  <c r="D12" i="6"/>
  <c r="C12" i="6"/>
  <c r="C13" i="6" s="1"/>
  <c r="E6" i="6"/>
  <c r="E7" i="6" s="1"/>
  <c r="D6" i="6"/>
  <c r="C6" i="6"/>
  <c r="C9" i="6" s="1"/>
  <c r="H6" i="5"/>
  <c r="I6" i="5" s="1"/>
  <c r="J6" i="5" s="1"/>
  <c r="K6" i="5" s="1"/>
  <c r="G6" i="5"/>
  <c r="E6" i="5"/>
  <c r="F6" i="5" s="1"/>
  <c r="C6" i="5"/>
  <c r="B6" i="5"/>
  <c r="B5" i="5"/>
  <c r="G11" i="4"/>
  <c r="E10" i="4"/>
  <c r="G8" i="4"/>
  <c r="G7" i="4" s="1"/>
  <c r="E7" i="4"/>
  <c r="E13" i="4" s="1"/>
  <c r="E14" i="4" s="1"/>
  <c r="C7" i="4"/>
  <c r="E6" i="4"/>
  <c r="C6" i="4"/>
  <c r="G5" i="4"/>
  <c r="B4" i="4"/>
  <c r="F3" i="4"/>
  <c r="E48" i="3"/>
  <c r="D48" i="3"/>
  <c r="E47" i="3"/>
  <c r="D47" i="3"/>
  <c r="E46" i="3"/>
  <c r="E45" i="3"/>
  <c r="E44" i="3"/>
  <c r="D43" i="3"/>
  <c r="D49" i="3" s="1"/>
  <c r="E49" i="3" s="1"/>
  <c r="D40" i="3"/>
  <c r="E40" i="3" s="1"/>
  <c r="E39" i="3"/>
  <c r="D39" i="3"/>
  <c r="D36" i="3"/>
  <c r="E36" i="3" s="1"/>
  <c r="E35" i="3"/>
  <c r="D35" i="3"/>
  <c r="D34" i="3"/>
  <c r="E34" i="3" s="1"/>
  <c r="E33" i="3"/>
  <c r="D33" i="3"/>
  <c r="D32" i="3"/>
  <c r="E32" i="3" s="1"/>
  <c r="D31" i="3"/>
  <c r="E31" i="3" s="1"/>
  <c r="D30" i="3"/>
  <c r="E30" i="3" s="1"/>
  <c r="E29" i="3"/>
  <c r="D29" i="3"/>
  <c r="D28" i="3"/>
  <c r="E28" i="3" s="1"/>
  <c r="E27" i="3"/>
  <c r="D27" i="3"/>
  <c r="D26" i="3"/>
  <c r="E26" i="3" s="1"/>
  <c r="E22" i="3"/>
  <c r="D22" i="3"/>
  <c r="E21" i="3"/>
  <c r="E17" i="3"/>
  <c r="E16" i="3"/>
  <c r="D16" i="3"/>
  <c r="E15" i="3"/>
  <c r="E14" i="3"/>
  <c r="E13" i="3"/>
  <c r="E11" i="3"/>
  <c r="F11" i="2"/>
  <c r="D11" i="2"/>
  <c r="E10" i="2"/>
  <c r="D9" i="2"/>
  <c r="D7" i="2" s="1"/>
  <c r="F8" i="2"/>
  <c r="D8" i="2"/>
  <c r="D6" i="2"/>
  <c r="F5" i="2"/>
  <c r="D5" i="2"/>
  <c r="C5" i="4" s="1"/>
  <c r="F4" i="2"/>
  <c r="F6" i="2" s="1"/>
  <c r="E4" i="2"/>
  <c r="F4" i="4" s="1"/>
  <c r="D3" i="2"/>
  <c r="F43" i="7" l="1"/>
  <c r="F51" i="7" s="1"/>
  <c r="H43" i="7"/>
  <c r="H51" i="7" s="1"/>
  <c r="C43" i="7"/>
  <c r="C51" i="7" s="1"/>
  <c r="G4" i="7"/>
  <c r="C5" i="11" s="1"/>
  <c r="G43" i="7"/>
  <c r="G51" i="7" s="1"/>
  <c r="D43" i="7"/>
  <c r="D51" i="7" s="1"/>
  <c r="E43" i="7"/>
  <c r="E51" i="7" s="1"/>
  <c r="D15" i="7"/>
  <c r="I43" i="7"/>
  <c r="I51" i="7" s="1"/>
  <c r="F6" i="4"/>
  <c r="G4" i="4"/>
  <c r="G6" i="4" s="1"/>
  <c r="C16" i="14" s="1"/>
  <c r="C9" i="11"/>
  <c r="F19" i="6"/>
  <c r="F39" i="7"/>
  <c r="F47" i="7"/>
  <c r="F55" i="7" s="1"/>
  <c r="D7" i="11"/>
  <c r="F7" i="11"/>
  <c r="H36" i="7"/>
  <c r="H44" i="7" s="1"/>
  <c r="H52" i="7" s="1"/>
  <c r="F7" i="2"/>
  <c r="C21" i="6"/>
  <c r="F45" i="7"/>
  <c r="F53" i="7" s="1"/>
  <c r="C3" i="13"/>
  <c r="D3" i="14"/>
  <c r="C3" i="12"/>
  <c r="E45" i="7"/>
  <c r="E53" i="7" s="1"/>
  <c r="C38" i="10"/>
  <c r="F37" i="10"/>
  <c r="F79" i="10"/>
  <c r="C80" i="10"/>
  <c r="E6" i="2"/>
  <c r="D7" i="3" s="1"/>
  <c r="F9" i="2"/>
  <c r="E13" i="2"/>
  <c r="E43" i="3"/>
  <c r="F6" i="6"/>
  <c r="F7" i="6" s="1"/>
  <c r="C27" i="7"/>
  <c r="H46" i="7"/>
  <c r="H54" i="7" s="1"/>
  <c r="F37" i="7"/>
  <c r="E39" i="7"/>
  <c r="E47" i="7" s="1"/>
  <c r="E55" i="7" s="1"/>
  <c r="H40" i="7"/>
  <c r="H48" i="7" s="1"/>
  <c r="H56" i="7" s="1"/>
  <c r="F48" i="7"/>
  <c r="F56" i="7" s="1"/>
  <c r="G3" i="13"/>
  <c r="G3" i="12"/>
  <c r="H3" i="14"/>
  <c r="I3" i="9"/>
  <c r="G36" i="7"/>
  <c r="G44" i="7" s="1"/>
  <c r="G52" i="7" s="1"/>
  <c r="E12" i="6"/>
  <c r="F12" i="6" s="1"/>
  <c r="F13" i="6" s="1"/>
  <c r="I27" i="7"/>
  <c r="E27" i="7"/>
  <c r="G30" i="7"/>
  <c r="C30" i="7"/>
  <c r="E3" i="13"/>
  <c r="E3" i="12"/>
  <c r="F3" i="14"/>
  <c r="I3" i="13"/>
  <c r="J3" i="14"/>
  <c r="I3" i="12"/>
  <c r="K3" i="9"/>
  <c r="D27" i="7"/>
  <c r="D46" i="7"/>
  <c r="D54" i="7" s="1"/>
  <c r="H30" i="7"/>
  <c r="G37" i="7"/>
  <c r="G45" i="7" s="1"/>
  <c r="G53" i="7" s="1"/>
  <c r="H45" i="7"/>
  <c r="H53" i="7" s="1"/>
  <c r="F46" i="7"/>
  <c r="F54" i="7" s="1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E13" i="8"/>
  <c r="F13" i="8" s="1"/>
  <c r="D12" i="8"/>
  <c r="E14" i="8"/>
  <c r="F14" i="8" s="1"/>
  <c r="G3" i="14"/>
  <c r="F3" i="12"/>
  <c r="F3" i="13"/>
  <c r="F27" i="7"/>
  <c r="E29" i="7"/>
  <c r="D30" i="7"/>
  <c r="I30" i="7"/>
  <c r="I48" i="7"/>
  <c r="I56" i="7" s="1"/>
  <c r="C37" i="7"/>
  <c r="C45" i="7" s="1"/>
  <c r="C53" i="7" s="1"/>
  <c r="G38" i="7"/>
  <c r="G46" i="7" s="1"/>
  <c r="G54" i="7" s="1"/>
  <c r="E40" i="7"/>
  <c r="E48" i="7" s="1"/>
  <c r="E56" i="7" s="1"/>
  <c r="I45" i="7"/>
  <c r="I53" i="7" s="1"/>
  <c r="E12" i="8"/>
  <c r="F91" i="10"/>
  <c r="C92" i="10"/>
  <c r="C7" i="6"/>
  <c r="E3" i="14"/>
  <c r="D3" i="13"/>
  <c r="D3" i="12"/>
  <c r="I3" i="14"/>
  <c r="H3" i="12"/>
  <c r="H3" i="13"/>
  <c r="J3" i="9"/>
  <c r="C22" i="10"/>
  <c r="C45" i="10"/>
  <c r="F45" i="10" s="1"/>
  <c r="C63" i="10"/>
  <c r="F63" i="10" s="1"/>
  <c r="F72" i="10"/>
  <c r="C73" i="10"/>
  <c r="F84" i="10"/>
  <c r="C85" i="10"/>
  <c r="F43" i="10"/>
  <c r="F61" i="10"/>
  <c r="F66" i="10"/>
  <c r="D9" i="15"/>
  <c r="E8" i="15"/>
  <c r="E7" i="15"/>
  <c r="E18" i="15"/>
  <c r="I39" i="7" l="1"/>
  <c r="I47" i="7" s="1"/>
  <c r="I55" i="7" s="1"/>
  <c r="H22" i="14"/>
  <c r="J22" i="14"/>
  <c r="E36" i="7"/>
  <c r="E44" i="7" s="1"/>
  <c r="E52" i="7" s="1"/>
  <c r="D5" i="11"/>
  <c r="F5" i="11"/>
  <c r="C74" i="10"/>
  <c r="F73" i="10"/>
  <c r="F92" i="10"/>
  <c r="C93" i="10"/>
  <c r="F93" i="10" s="1"/>
  <c r="F12" i="8"/>
  <c r="D47" i="7"/>
  <c r="D55" i="7" s="1"/>
  <c r="D39" i="7"/>
  <c r="I36" i="7"/>
  <c r="I44" i="7" s="1"/>
  <c r="I52" i="7" s="1"/>
  <c r="I58" i="7" s="1"/>
  <c r="I8" i="12"/>
  <c r="E8" i="12"/>
  <c r="H8" i="12"/>
  <c r="D8" i="12"/>
  <c r="G8" i="12"/>
  <c r="C8" i="12"/>
  <c r="F8" i="12"/>
  <c r="F22" i="14"/>
  <c r="C96" i="8"/>
  <c r="G22" i="14"/>
  <c r="I22" i="14"/>
  <c r="F80" i="10"/>
  <c r="C81" i="10"/>
  <c r="F81" i="10" s="1"/>
  <c r="D9" i="11"/>
  <c r="F9" i="11"/>
  <c r="F18" i="11"/>
  <c r="I26" i="7"/>
  <c r="I34" i="7" s="1"/>
  <c r="E26" i="7"/>
  <c r="E34" i="7" s="1"/>
  <c r="H26" i="7"/>
  <c r="H34" i="7" s="1"/>
  <c r="C26" i="7"/>
  <c r="C34" i="7" s="1"/>
  <c r="G26" i="7"/>
  <c r="G34" i="7" s="1"/>
  <c r="D26" i="7"/>
  <c r="D34" i="7" s="1"/>
  <c r="F26" i="7"/>
  <c r="F34" i="7" s="1"/>
  <c r="E9" i="15"/>
  <c r="D10" i="15"/>
  <c r="E38" i="7"/>
  <c r="E46" i="7" s="1"/>
  <c r="E54" i="7" s="1"/>
  <c r="E15" i="8"/>
  <c r="F15" i="8" s="1"/>
  <c r="D13" i="8"/>
  <c r="D36" i="7"/>
  <c r="D44" i="7" s="1"/>
  <c r="D52" i="7" s="1"/>
  <c r="D58" i="7" s="1"/>
  <c r="C39" i="7"/>
  <c r="C47" i="7"/>
  <c r="C55" i="7" s="1"/>
  <c r="F14" i="6"/>
  <c r="F15" i="6" s="1"/>
  <c r="C36" i="7"/>
  <c r="C44" i="7" s="1"/>
  <c r="C52" i="7" s="1"/>
  <c r="C58" i="7" s="1"/>
  <c r="D8" i="10"/>
  <c r="F13" i="4"/>
  <c r="C86" i="10"/>
  <c r="F85" i="10"/>
  <c r="C23" i="10"/>
  <c r="F44" i="7"/>
  <c r="F52" i="7" s="1"/>
  <c r="F36" i="7"/>
  <c r="H47" i="7"/>
  <c r="H55" i="7" s="1"/>
  <c r="H58" i="7" s="1"/>
  <c r="H39" i="7"/>
  <c r="G39" i="7"/>
  <c r="G47" i="7" s="1"/>
  <c r="G55" i="7" s="1"/>
  <c r="G58" i="7" s="1"/>
  <c r="C11" i="11"/>
  <c r="F8" i="6"/>
  <c r="C12" i="11" s="1"/>
  <c r="F9" i="6"/>
  <c r="E7" i="3"/>
  <c r="D8" i="3"/>
  <c r="F38" i="10"/>
  <c r="C39" i="10"/>
  <c r="F39" i="10" s="1"/>
  <c r="F20" i="6"/>
  <c r="F58" i="7"/>
  <c r="H4" i="13" l="1"/>
  <c r="I4" i="14" s="1"/>
  <c r="I7" i="14" s="1"/>
  <c r="H6" i="13"/>
  <c r="C6" i="13"/>
  <c r="C4" i="13"/>
  <c r="D4" i="14" s="1"/>
  <c r="D7" i="14" s="1"/>
  <c r="D4" i="13"/>
  <c r="E4" i="14" s="1"/>
  <c r="E7" i="14" s="1"/>
  <c r="D6" i="13"/>
  <c r="I6" i="13"/>
  <c r="I4" i="13"/>
  <c r="J4" i="14" s="1"/>
  <c r="J7" i="14" s="1"/>
  <c r="E58" i="7"/>
  <c r="G6" i="13"/>
  <c r="G4" i="13"/>
  <c r="H4" i="14" s="1"/>
  <c r="H7" i="14" s="1"/>
  <c r="F14" i="4"/>
  <c r="C12" i="4" s="1"/>
  <c r="F12" i="11"/>
  <c r="D12" i="11"/>
  <c r="F23" i="10"/>
  <c r="C24" i="10"/>
  <c r="C34" i="10"/>
  <c r="D11" i="10"/>
  <c r="D12" i="10" s="1"/>
  <c r="D13" i="10" s="1"/>
  <c r="D14" i="10" s="1"/>
  <c r="D15" i="10" s="1"/>
  <c r="D16" i="10" s="1"/>
  <c r="I5" i="12"/>
  <c r="E5" i="12"/>
  <c r="H5" i="12"/>
  <c r="D5" i="12"/>
  <c r="G5" i="12"/>
  <c r="C5" i="12"/>
  <c r="F5" i="12"/>
  <c r="F4" i="13"/>
  <c r="G4" i="14" s="1"/>
  <c r="G7" i="14" s="1"/>
  <c r="F6" i="13"/>
  <c r="C16" i="11"/>
  <c r="C15" i="11"/>
  <c r="C13" i="11"/>
  <c r="D11" i="11"/>
  <c r="F11" i="11"/>
  <c r="C10" i="11"/>
  <c r="I6" i="12"/>
  <c r="E6" i="12"/>
  <c r="H6" i="12"/>
  <c r="D6" i="12"/>
  <c r="G6" i="12"/>
  <c r="C6" i="12"/>
  <c r="F6" i="12"/>
  <c r="F21" i="6"/>
  <c r="E8" i="3"/>
  <c r="C87" i="10"/>
  <c r="F87" i="10" s="1"/>
  <c r="F86" i="10"/>
  <c r="D14" i="8"/>
  <c r="E16" i="8"/>
  <c r="F16" i="8" s="1"/>
  <c r="D11" i="15"/>
  <c r="E10" i="15"/>
  <c r="C75" i="10"/>
  <c r="F75" i="10" s="1"/>
  <c r="F74" i="10"/>
  <c r="G12" i="4" l="1"/>
  <c r="C10" i="4"/>
  <c r="D12" i="2"/>
  <c r="H11" i="12"/>
  <c r="D11" i="12"/>
  <c r="E11" i="12"/>
  <c r="I11" i="12"/>
  <c r="C11" i="12"/>
  <c r="G11" i="12"/>
  <c r="F11" i="12"/>
  <c r="C40" i="10"/>
  <c r="F13" i="11"/>
  <c r="D13" i="11"/>
  <c r="K13" i="9"/>
  <c r="E13" i="9"/>
  <c r="H13" i="9"/>
  <c r="H12" i="12"/>
  <c r="D12" i="12"/>
  <c r="G12" i="12"/>
  <c r="F12" i="12"/>
  <c r="E12" i="12"/>
  <c r="I12" i="12"/>
  <c r="C12" i="12"/>
  <c r="D12" i="15"/>
  <c r="E12" i="15" s="1"/>
  <c r="E11" i="15"/>
  <c r="E14" i="15" s="1"/>
  <c r="E16" i="15" s="1"/>
  <c r="E17" i="15" s="1"/>
  <c r="D10" i="11"/>
  <c r="F10" i="11"/>
  <c r="D15" i="11"/>
  <c r="F15" i="11"/>
  <c r="C25" i="10"/>
  <c r="F24" i="10"/>
  <c r="I13" i="9"/>
  <c r="F13" i="9"/>
  <c r="J13" i="9"/>
  <c r="D15" i="8"/>
  <c r="E17" i="8"/>
  <c r="F16" i="11"/>
  <c r="D16" i="11"/>
  <c r="D17" i="10"/>
  <c r="D18" i="10" s="1"/>
  <c r="D19" i="10" s="1"/>
  <c r="D20" i="10" s="1"/>
  <c r="D21" i="10" s="1"/>
  <c r="D22" i="10" s="1"/>
  <c r="E16" i="10"/>
  <c r="E6" i="13"/>
  <c r="E4" i="13"/>
  <c r="F4" i="14" s="1"/>
  <c r="F7" i="14" s="1"/>
  <c r="D16" i="8" l="1"/>
  <c r="E18" i="8"/>
  <c r="F18" i="8" s="1"/>
  <c r="D12" i="14"/>
  <c r="C9" i="13"/>
  <c r="G13" i="9"/>
  <c r="H15" i="13"/>
  <c r="I19" i="14" s="1"/>
  <c r="J17" i="9"/>
  <c r="G15" i="13"/>
  <c r="H19" i="14" s="1"/>
  <c r="I17" i="9"/>
  <c r="I7" i="12"/>
  <c r="E7" i="12"/>
  <c r="H7" i="12"/>
  <c r="D7" i="12"/>
  <c r="G7" i="12"/>
  <c r="C7" i="12"/>
  <c r="F7" i="12"/>
  <c r="I15" i="13"/>
  <c r="J19" i="14" s="1"/>
  <c r="K17" i="9"/>
  <c r="I16" i="12"/>
  <c r="E16" i="12"/>
  <c r="G16" i="12"/>
  <c r="C16" i="12"/>
  <c r="F16" i="12"/>
  <c r="D16" i="12"/>
  <c r="H16" i="12"/>
  <c r="C46" i="10"/>
  <c r="J12" i="14"/>
  <c r="I9" i="13"/>
  <c r="D10" i="2"/>
  <c r="D13" i="2" s="1"/>
  <c r="F13" i="2" s="1"/>
  <c r="F12" i="2"/>
  <c r="F25" i="10"/>
  <c r="C26" i="10"/>
  <c r="F15" i="13"/>
  <c r="G19" i="14" s="1"/>
  <c r="H17" i="9"/>
  <c r="H9" i="13"/>
  <c r="I12" i="14"/>
  <c r="F16" i="10"/>
  <c r="F9" i="13"/>
  <c r="G12" i="14"/>
  <c r="F12" i="14"/>
  <c r="E9" i="13"/>
  <c r="C17" i="14"/>
  <c r="G10" i="4"/>
  <c r="G13" i="4" s="1"/>
  <c r="G14" i="4" s="1"/>
  <c r="C5" i="5" s="1"/>
  <c r="C13" i="4"/>
  <c r="C14" i="4" s="1"/>
  <c r="D4" i="3" s="1"/>
  <c r="H13" i="12"/>
  <c r="D13" i="12"/>
  <c r="E13" i="12"/>
  <c r="I13" i="12"/>
  <c r="C13" i="12"/>
  <c r="G13" i="12"/>
  <c r="F13" i="12"/>
  <c r="E22" i="10"/>
  <c r="F22" i="10" s="1"/>
  <c r="D23" i="10"/>
  <c r="D24" i="10" s="1"/>
  <c r="D25" i="10" s="1"/>
  <c r="D26" i="10" s="1"/>
  <c r="D27" i="10" s="1"/>
  <c r="F17" i="8"/>
  <c r="D15" i="13"/>
  <c r="E19" i="14" s="1"/>
  <c r="F17" i="9"/>
  <c r="I15" i="12"/>
  <c r="E15" i="12"/>
  <c r="G15" i="12"/>
  <c r="F15" i="12"/>
  <c r="D15" i="12"/>
  <c r="C15" i="12"/>
  <c r="H15" i="12"/>
  <c r="C15" i="13"/>
  <c r="D19" i="14" s="1"/>
  <c r="E17" i="9"/>
  <c r="H12" i="14"/>
  <c r="G9" i="13"/>
  <c r="D9" i="13"/>
  <c r="E12" i="14"/>
  <c r="D28" i="10" l="1"/>
  <c r="E15" i="13"/>
  <c r="F19" i="14" s="1"/>
  <c r="G17" i="9"/>
  <c r="D5" i="3"/>
  <c r="D10" i="3" s="1"/>
  <c r="E4" i="3"/>
  <c r="G12" i="2"/>
  <c r="F10" i="2"/>
  <c r="G11" i="14"/>
  <c r="F10" i="13"/>
  <c r="I11" i="14"/>
  <c r="H10" i="13"/>
  <c r="G10" i="13"/>
  <c r="H11" i="14"/>
  <c r="C10" i="13"/>
  <c r="D11" i="14"/>
  <c r="E10" i="13"/>
  <c r="F11" i="14"/>
  <c r="K5" i="5"/>
  <c r="K7" i="5" s="1"/>
  <c r="G5" i="5"/>
  <c r="G7" i="5" s="1"/>
  <c r="J5" i="5"/>
  <c r="J7" i="5" s="1"/>
  <c r="E5" i="5"/>
  <c r="E7" i="5" s="1"/>
  <c r="I5" i="5"/>
  <c r="I7" i="5" s="1"/>
  <c r="F5" i="5"/>
  <c r="F7" i="5" s="1"/>
  <c r="H5" i="5"/>
  <c r="H7" i="5" s="1"/>
  <c r="C27" i="10"/>
  <c r="F26" i="10"/>
  <c r="G8" i="2"/>
  <c r="G5" i="2"/>
  <c r="G11" i="2"/>
  <c r="G4" i="2"/>
  <c r="G13" i="2" s="1"/>
  <c r="G9" i="2"/>
  <c r="E19" i="8"/>
  <c r="D17" i="8"/>
  <c r="E11" i="14"/>
  <c r="D10" i="13"/>
  <c r="I10" i="13"/>
  <c r="J11" i="14"/>
  <c r="C52" i="10"/>
  <c r="E28" i="10" l="1"/>
  <c r="D18" i="8"/>
  <c r="E20" i="8"/>
  <c r="F20" i="8" s="1"/>
  <c r="F27" i="10"/>
  <c r="C28" i="10"/>
  <c r="H10" i="14"/>
  <c r="G9" i="12"/>
  <c r="G10" i="12" s="1"/>
  <c r="J10" i="14"/>
  <c r="I9" i="12"/>
  <c r="I10" i="12" s="1"/>
  <c r="F10" i="14"/>
  <c r="E9" i="12"/>
  <c r="E10" i="12" s="1"/>
  <c r="D10" i="14"/>
  <c r="C8" i="11"/>
  <c r="C9" i="12"/>
  <c r="C10" i="12" s="1"/>
  <c r="E8" i="5"/>
  <c r="E5" i="3"/>
  <c r="C58" i="10"/>
  <c r="E10" i="14"/>
  <c r="D9" i="12"/>
  <c r="D10" i="12" s="1"/>
  <c r="F8" i="5"/>
  <c r="G8" i="5" s="1"/>
  <c r="H8" i="5" s="1"/>
  <c r="I8" i="5" s="1"/>
  <c r="J8" i="5" s="1"/>
  <c r="K8" i="5" s="1"/>
  <c r="F19" i="8"/>
  <c r="G10" i="14"/>
  <c r="F9" i="12"/>
  <c r="F10" i="12" s="1"/>
  <c r="H9" i="12"/>
  <c r="H10" i="12" s="1"/>
  <c r="I10" i="14"/>
  <c r="G8" i="14" l="1"/>
  <c r="G9" i="14" s="1"/>
  <c r="F7" i="13"/>
  <c r="F8" i="13" s="1"/>
  <c r="C64" i="10"/>
  <c r="E8" i="14"/>
  <c r="E9" i="14" s="1"/>
  <c r="D7" i="13"/>
  <c r="D8" i="13" s="1"/>
  <c r="C15" i="14"/>
  <c r="C20" i="14" s="1"/>
  <c r="C23" i="14" s="1"/>
  <c r="E10" i="3"/>
  <c r="G5" i="3" s="1"/>
  <c r="C14" i="11"/>
  <c r="D8" i="11"/>
  <c r="F8" i="11"/>
  <c r="F28" i="10"/>
  <c r="C29" i="10"/>
  <c r="D8" i="14"/>
  <c r="D9" i="14" s="1"/>
  <c r="C7" i="13"/>
  <c r="C8" i="13" s="1"/>
  <c r="D19" i="8"/>
  <c r="E21" i="8"/>
  <c r="I8" i="14"/>
  <c r="I9" i="14" s="1"/>
  <c r="H7" i="13"/>
  <c r="H8" i="13" s="1"/>
  <c r="F4" i="3"/>
  <c r="G7" i="13"/>
  <c r="G8" i="13" s="1"/>
  <c r="H8" i="14"/>
  <c r="H9" i="14" s="1"/>
  <c r="D29" i="10"/>
  <c r="D30" i="10" s="1"/>
  <c r="F8" i="14"/>
  <c r="F9" i="14" s="1"/>
  <c r="E7" i="13"/>
  <c r="E8" i="13" s="1"/>
  <c r="J8" i="14"/>
  <c r="J9" i="14" s="1"/>
  <c r="I7" i="13"/>
  <c r="I8" i="13" s="1"/>
  <c r="F14" i="11" l="1"/>
  <c r="D14" i="11"/>
  <c r="C70" i="10"/>
  <c r="F21" i="8"/>
  <c r="C17" i="11"/>
  <c r="D20" i="13"/>
  <c r="E20" i="13"/>
  <c r="D20" i="8"/>
  <c r="E22" i="8"/>
  <c r="F22" i="8" s="1"/>
  <c r="F17" i="11"/>
  <c r="G17" i="11" s="1"/>
  <c r="E9" i="3"/>
  <c r="G8" i="3"/>
  <c r="G10" i="3" s="1"/>
  <c r="F20" i="13"/>
  <c r="I20" i="13"/>
  <c r="G20" i="13"/>
  <c r="H20" i="13"/>
  <c r="C20" i="13"/>
  <c r="C30" i="10"/>
  <c r="F29" i="10"/>
  <c r="C24" i="14"/>
  <c r="C25" i="14"/>
  <c r="C26" i="14" s="1"/>
  <c r="F30" i="10" l="1"/>
  <c r="C31" i="10"/>
  <c r="D31" i="10"/>
  <c r="H14" i="12"/>
  <c r="D14" i="12"/>
  <c r="G14" i="12"/>
  <c r="F14" i="12"/>
  <c r="E14" i="12"/>
  <c r="I14" i="12"/>
  <c r="C14" i="12"/>
  <c r="D17" i="11"/>
  <c r="E23" i="8"/>
  <c r="D21" i="8"/>
  <c r="C76" i="10"/>
  <c r="F23" i="8" l="1"/>
  <c r="C19" i="12"/>
  <c r="F19" i="11"/>
  <c r="E17" i="11"/>
  <c r="F11" i="13"/>
  <c r="F17" i="12"/>
  <c r="F18" i="12" s="1"/>
  <c r="D32" i="10"/>
  <c r="E17" i="12"/>
  <c r="E18" i="12" s="1"/>
  <c r="E11" i="13"/>
  <c r="G17" i="12"/>
  <c r="G18" i="12" s="1"/>
  <c r="G11" i="13"/>
  <c r="C32" i="10"/>
  <c r="F31" i="10"/>
  <c r="H11" i="13"/>
  <c r="H17" i="12"/>
  <c r="H18" i="12" s="1"/>
  <c r="C82" i="10"/>
  <c r="C11" i="13"/>
  <c r="C17" i="12"/>
  <c r="C18" i="12" s="1"/>
  <c r="D22" i="8"/>
  <c r="E24" i="8"/>
  <c r="I11" i="13"/>
  <c r="I17" i="12"/>
  <c r="I18" i="12" s="1"/>
  <c r="D11" i="13"/>
  <c r="D17" i="12"/>
  <c r="D18" i="12" s="1"/>
  <c r="E13" i="14" l="1"/>
  <c r="E14" i="14" s="1"/>
  <c r="D12" i="13"/>
  <c r="D23" i="8"/>
  <c r="E25" i="8"/>
  <c r="F25" i="8" s="1"/>
  <c r="C88" i="10"/>
  <c r="H13" i="14"/>
  <c r="H14" i="14" s="1"/>
  <c r="G12" i="13"/>
  <c r="D33" i="10"/>
  <c r="D34" i="10" s="1"/>
  <c r="J13" i="14"/>
  <c r="J14" i="14" s="1"/>
  <c r="I12" i="13"/>
  <c r="I13" i="14"/>
  <c r="I14" i="14" s="1"/>
  <c r="H12" i="13"/>
  <c r="C20" i="12"/>
  <c r="C13" i="13" s="1"/>
  <c r="D18" i="14"/>
  <c r="F32" i="10"/>
  <c r="C33" i="10"/>
  <c r="F33" i="10" s="1"/>
  <c r="D13" i="14"/>
  <c r="D14" i="14" s="1"/>
  <c r="D20" i="14" s="1"/>
  <c r="D23" i="14" s="1"/>
  <c r="C12" i="13"/>
  <c r="F24" i="8"/>
  <c r="F13" i="14"/>
  <c r="F14" i="14" s="1"/>
  <c r="E12" i="13"/>
  <c r="G13" i="14"/>
  <c r="G14" i="14" s="1"/>
  <c r="F12" i="13"/>
  <c r="D35" i="10" l="1"/>
  <c r="D36" i="10" s="1"/>
  <c r="D37" i="10" s="1"/>
  <c r="D38" i="10" s="1"/>
  <c r="D39" i="10" s="1"/>
  <c r="D40" i="10" s="1"/>
  <c r="E34" i="10"/>
  <c r="D24" i="8"/>
  <c r="E26" i="8"/>
  <c r="D26" i="14"/>
  <c r="D25" i="14"/>
  <c r="C21" i="12"/>
  <c r="C94" i="10"/>
  <c r="C14" i="13"/>
  <c r="C17" i="13" s="1"/>
  <c r="C19" i="13" s="1"/>
  <c r="F34" i="10" l="1"/>
  <c r="E40" i="10"/>
  <c r="F40" i="10" s="1"/>
  <c r="D41" i="10"/>
  <c r="D42" i="10" s="1"/>
  <c r="D43" i="10" s="1"/>
  <c r="D44" i="10" s="1"/>
  <c r="D45" i="10" s="1"/>
  <c r="D46" i="10" s="1"/>
  <c r="F26" i="8"/>
  <c r="C95" i="10"/>
  <c r="E27" i="8"/>
  <c r="F27" i="8" s="1"/>
  <c r="D25" i="8"/>
  <c r="D47" i="10" l="1"/>
  <c r="D48" i="10" s="1"/>
  <c r="D49" i="10" s="1"/>
  <c r="D50" i="10" s="1"/>
  <c r="D51" i="10" s="1"/>
  <c r="D52" i="10" s="1"/>
  <c r="E46" i="10"/>
  <c r="F46" i="10" s="1"/>
  <c r="D26" i="8"/>
  <c r="E28" i="8"/>
  <c r="F28" i="8" s="1"/>
  <c r="D27" i="8" l="1"/>
  <c r="E29" i="8"/>
  <c r="F29" i="8" s="1"/>
  <c r="E52" i="10"/>
  <c r="F52" i="10" s="1"/>
  <c r="D53" i="10"/>
  <c r="D54" i="10" s="1"/>
  <c r="D55" i="10" s="1"/>
  <c r="D56" i="10" s="1"/>
  <c r="D57" i="10" s="1"/>
  <c r="D58" i="10" s="1"/>
  <c r="D59" i="10" l="1"/>
  <c r="D60" i="10" s="1"/>
  <c r="D61" i="10" s="1"/>
  <c r="D62" i="10" s="1"/>
  <c r="D63" i="10" s="1"/>
  <c r="D64" i="10" s="1"/>
  <c r="E58" i="10"/>
  <c r="F58" i="10" s="1"/>
  <c r="D28" i="8"/>
  <c r="E30" i="8"/>
  <c r="F30" i="8" s="1"/>
  <c r="E31" i="8" l="1"/>
  <c r="F31" i="8" s="1"/>
  <c r="D29" i="8"/>
  <c r="E64" i="10"/>
  <c r="F64" i="10" s="1"/>
  <c r="D65" i="10"/>
  <c r="D66" i="10" s="1"/>
  <c r="D67" i="10" s="1"/>
  <c r="D68" i="10" s="1"/>
  <c r="D69" i="10" s="1"/>
  <c r="D70" i="10" s="1"/>
  <c r="D71" i="10" l="1"/>
  <c r="D72" i="10" s="1"/>
  <c r="D73" i="10" s="1"/>
  <c r="D74" i="10" s="1"/>
  <c r="D75" i="10" s="1"/>
  <c r="D76" i="10" s="1"/>
  <c r="E70" i="10"/>
  <c r="F70" i="10" s="1"/>
  <c r="D30" i="8"/>
  <c r="E32" i="8"/>
  <c r="F32" i="8" s="1"/>
  <c r="D31" i="8" l="1"/>
  <c r="E33" i="8"/>
  <c r="F33" i="8" s="1"/>
  <c r="E76" i="10"/>
  <c r="F76" i="10" s="1"/>
  <c r="D77" i="10"/>
  <c r="D78" i="10" s="1"/>
  <c r="D79" i="10" s="1"/>
  <c r="D80" i="10" s="1"/>
  <c r="D81" i="10" s="1"/>
  <c r="D82" i="10" s="1"/>
  <c r="D83" i="10" l="1"/>
  <c r="D84" i="10" s="1"/>
  <c r="D85" i="10" s="1"/>
  <c r="D86" i="10" s="1"/>
  <c r="D87" i="10" s="1"/>
  <c r="D88" i="10" s="1"/>
  <c r="E82" i="10"/>
  <c r="F82" i="10" s="1"/>
  <c r="D32" i="8"/>
  <c r="E34" i="8"/>
  <c r="F34" i="8" s="1"/>
  <c r="E35" i="8" l="1"/>
  <c r="D33" i="8"/>
  <c r="E88" i="10"/>
  <c r="F88" i="10" s="1"/>
  <c r="D89" i="10"/>
  <c r="D90" i="10" s="1"/>
  <c r="D91" i="10" s="1"/>
  <c r="D92" i="10" s="1"/>
  <c r="D93" i="10" s="1"/>
  <c r="D94" i="10" s="1"/>
  <c r="E94" i="10" s="1"/>
  <c r="E95" i="10" l="1"/>
  <c r="F94" i="10"/>
  <c r="F95" i="10" s="1"/>
  <c r="E36" i="8"/>
  <c r="D34" i="8"/>
  <c r="F35" i="8"/>
  <c r="D19" i="12"/>
  <c r="E18" i="14" s="1"/>
  <c r="E20" i="14" s="1"/>
  <c r="E23" i="14" s="1"/>
  <c r="D20" i="12"/>
  <c r="D13" i="13" l="1"/>
  <c r="D14" i="13" s="1"/>
  <c r="D17" i="13" s="1"/>
  <c r="D19" i="13" s="1"/>
  <c r="D21" i="12"/>
  <c r="F36" i="8"/>
  <c r="E37" i="8"/>
  <c r="F37" i="8" s="1"/>
  <c r="D35" i="8"/>
  <c r="E26" i="14"/>
  <c r="E25" i="14"/>
  <c r="E38" i="8" l="1"/>
  <c r="F38" i="8" s="1"/>
  <c r="D36" i="8"/>
  <c r="E39" i="8" l="1"/>
  <c r="F39" i="8" s="1"/>
  <c r="D37" i="8"/>
  <c r="E40" i="8" l="1"/>
  <c r="F40" i="8" s="1"/>
  <c r="D38" i="8"/>
  <c r="E41" i="8" l="1"/>
  <c r="F41" i="8" s="1"/>
  <c r="D39" i="8"/>
  <c r="E42" i="8" l="1"/>
  <c r="F42" i="8" s="1"/>
  <c r="D40" i="8"/>
  <c r="E43" i="8" l="1"/>
  <c r="F43" i="8" s="1"/>
  <c r="D41" i="8"/>
  <c r="E44" i="8" l="1"/>
  <c r="F44" i="8" s="1"/>
  <c r="D42" i="8"/>
  <c r="E45" i="8" l="1"/>
  <c r="F45" i="8" s="1"/>
  <c r="D43" i="8"/>
  <c r="E46" i="8" l="1"/>
  <c r="F46" i="8" s="1"/>
  <c r="D44" i="8"/>
  <c r="E47" i="8" l="1"/>
  <c r="D45" i="8"/>
  <c r="E48" i="8" l="1"/>
  <c r="D46" i="8"/>
  <c r="F47" i="8"/>
  <c r="E19" i="12"/>
  <c r="E20" i="12" l="1"/>
  <c r="F18" i="14"/>
  <c r="E49" i="8"/>
  <c r="F49" i="8" s="1"/>
  <c r="D47" i="8"/>
  <c r="F48" i="8"/>
  <c r="F27" i="14" l="1"/>
  <c r="F20" i="14"/>
  <c r="F23" i="14" s="1"/>
  <c r="E50" i="8"/>
  <c r="F50" i="8" s="1"/>
  <c r="D48" i="8"/>
  <c r="E13" i="13"/>
  <c r="E14" i="13" s="1"/>
  <c r="E17" i="13" s="1"/>
  <c r="E19" i="13" s="1"/>
  <c r="E21" i="12"/>
  <c r="E51" i="8" l="1"/>
  <c r="F51" i="8" s="1"/>
  <c r="D49" i="8"/>
  <c r="F25" i="14"/>
  <c r="F26" i="14"/>
  <c r="E52" i="8" l="1"/>
  <c r="D50" i="8"/>
  <c r="E53" i="8" l="1"/>
  <c r="F53" i="8" s="1"/>
  <c r="D51" i="8"/>
  <c r="F52" i="8"/>
  <c r="E54" i="8" l="1"/>
  <c r="D52" i="8"/>
  <c r="E55" i="8" l="1"/>
  <c r="F55" i="8" s="1"/>
  <c r="D53" i="8"/>
  <c r="F54" i="8"/>
  <c r="E56" i="8" l="1"/>
  <c r="F56" i="8" s="1"/>
  <c r="D54" i="8"/>
  <c r="E57" i="8" l="1"/>
  <c r="F57" i="8" s="1"/>
  <c r="D55" i="8"/>
  <c r="E58" i="8" l="1"/>
  <c r="F58" i="8" s="1"/>
  <c r="D56" i="8"/>
  <c r="E59" i="8" l="1"/>
  <c r="D57" i="8"/>
  <c r="E60" i="8" l="1"/>
  <c r="D58" i="8"/>
  <c r="F59" i="8"/>
  <c r="F19" i="12"/>
  <c r="G18" i="14" l="1"/>
  <c r="F20" i="12"/>
  <c r="E61" i="8"/>
  <c r="F61" i="8" s="1"/>
  <c r="D59" i="8"/>
  <c r="F60" i="8"/>
  <c r="F13" i="13" l="1"/>
  <c r="F14" i="13" s="1"/>
  <c r="F17" i="13" s="1"/>
  <c r="F19" i="13" s="1"/>
  <c r="F21" i="12"/>
  <c r="E62" i="8"/>
  <c r="F62" i="8" s="1"/>
  <c r="D60" i="8"/>
  <c r="G27" i="14"/>
  <c r="G20" i="14"/>
  <c r="G23" i="14" s="1"/>
  <c r="E63" i="8" l="1"/>
  <c r="D61" i="8"/>
  <c r="G26" i="14"/>
  <c r="G25" i="14"/>
  <c r="E64" i="8" l="1"/>
  <c r="F64" i="8" s="1"/>
  <c r="D62" i="8"/>
  <c r="F63" i="8"/>
  <c r="E65" i="8" l="1"/>
  <c r="F65" i="8" s="1"/>
  <c r="D63" i="8"/>
  <c r="E66" i="8" l="1"/>
  <c r="F66" i="8" s="1"/>
  <c r="D64" i="8"/>
  <c r="E67" i="8" l="1"/>
  <c r="F67" i="8" s="1"/>
  <c r="D65" i="8"/>
  <c r="E68" i="8" l="1"/>
  <c r="F68" i="8" s="1"/>
  <c r="D66" i="8"/>
  <c r="E69" i="8" l="1"/>
  <c r="F69" i="8" s="1"/>
  <c r="D67" i="8"/>
  <c r="E70" i="8" l="1"/>
  <c r="F70" i="8" s="1"/>
  <c r="D68" i="8"/>
  <c r="E71" i="8" l="1"/>
  <c r="F71" i="8" s="1"/>
  <c r="D69" i="8"/>
  <c r="E72" i="8" l="1"/>
  <c r="D70" i="8"/>
  <c r="E73" i="8" l="1"/>
  <c r="F73" i="8" s="1"/>
  <c r="D71" i="8"/>
  <c r="F72" i="8"/>
  <c r="G19" i="12"/>
  <c r="G20" i="12" l="1"/>
  <c r="H18" i="14"/>
  <c r="E74" i="8"/>
  <c r="F74" i="8" s="1"/>
  <c r="D72" i="8"/>
  <c r="H20" i="14" l="1"/>
  <c r="H23" i="14" s="1"/>
  <c r="H26" i="14" s="1"/>
  <c r="H27" i="14"/>
  <c r="G13" i="13"/>
  <c r="G14" i="13" s="1"/>
  <c r="G17" i="13" s="1"/>
  <c r="G19" i="13" s="1"/>
  <c r="G21" i="12"/>
  <c r="E75" i="8"/>
  <c r="F75" i="8" s="1"/>
  <c r="D73" i="8"/>
  <c r="E76" i="8" l="1"/>
  <c r="D74" i="8"/>
  <c r="F76" i="8" l="1"/>
  <c r="E77" i="8"/>
  <c r="F77" i="8" s="1"/>
  <c r="D75" i="8"/>
  <c r="E78" i="8" l="1"/>
  <c r="F78" i="8" s="1"/>
  <c r="D76" i="8"/>
  <c r="E79" i="8" l="1"/>
  <c r="F79" i="8" s="1"/>
  <c r="D77" i="8"/>
  <c r="D78" i="8" l="1"/>
  <c r="E80" i="8"/>
  <c r="F80" i="8" s="1"/>
  <c r="E81" i="8" l="1"/>
  <c r="F81" i="8" s="1"/>
  <c r="D79" i="8"/>
  <c r="E82" i="8" l="1"/>
  <c r="F82" i="8" s="1"/>
  <c r="D80" i="8"/>
  <c r="E83" i="8" l="1"/>
  <c r="D81" i="8"/>
  <c r="E84" i="8" l="1"/>
  <c r="D82" i="8"/>
  <c r="F83" i="8"/>
  <c r="H19" i="12"/>
  <c r="I18" i="14" s="1"/>
  <c r="H20" i="12"/>
  <c r="I20" i="14" l="1"/>
  <c r="I23" i="14" s="1"/>
  <c r="I26" i="14" s="1"/>
  <c r="I27" i="14"/>
  <c r="H13" i="13"/>
  <c r="H14" i="13" s="1"/>
  <c r="H17" i="13" s="1"/>
  <c r="H19" i="13" s="1"/>
  <c r="H21" i="12"/>
  <c r="E85" i="8"/>
  <c r="F85" i="8" s="1"/>
  <c r="D83" i="8"/>
  <c r="F84" i="8"/>
  <c r="E86" i="8" l="1"/>
  <c r="F86" i="8" s="1"/>
  <c r="D84" i="8"/>
  <c r="E87" i="8" l="1"/>
  <c r="F87" i="8" s="1"/>
  <c r="D85" i="8"/>
  <c r="E88" i="8" l="1"/>
  <c r="F88" i="8" s="1"/>
  <c r="D86" i="8"/>
  <c r="E89" i="8" l="1"/>
  <c r="D87" i="8"/>
  <c r="E90" i="8" l="1"/>
  <c r="F90" i="8" s="1"/>
  <c r="D88" i="8"/>
  <c r="F89" i="8"/>
  <c r="E91" i="8" l="1"/>
  <c r="F91" i="8" s="1"/>
  <c r="D89" i="8"/>
  <c r="E92" i="8" l="1"/>
  <c r="F92" i="8" s="1"/>
  <c r="D90" i="8"/>
  <c r="E93" i="8" l="1"/>
  <c r="F93" i="8" s="1"/>
  <c r="D91" i="8"/>
  <c r="E94" i="8" l="1"/>
  <c r="F94" i="8" s="1"/>
  <c r="D92" i="8"/>
  <c r="E95" i="8" l="1"/>
  <c r="D93" i="8"/>
  <c r="D94" i="8" s="1"/>
  <c r="D95" i="8" s="1"/>
  <c r="F95" i="8" l="1"/>
  <c r="E96" i="8"/>
  <c r="F96" i="8" s="1"/>
  <c r="I19" i="12"/>
  <c r="J18" i="14" s="1"/>
  <c r="I20" i="12"/>
  <c r="J20" i="14" l="1"/>
  <c r="J23" i="14" s="1"/>
  <c r="J26" i="14" s="1"/>
  <c r="J27" i="14"/>
  <c r="I13" i="13"/>
  <c r="I14" i="13" s="1"/>
  <c r="I17" i="13" s="1"/>
  <c r="I19" i="13" s="1"/>
  <c r="I21" i="12"/>
</calcChain>
</file>

<file path=xl/comments1.xml><?xml version="1.0" encoding="utf-8"?>
<comments xmlns="http://schemas.openxmlformats.org/spreadsheetml/2006/main">
  <authors>
    <author>Yusupov T.</author>
  </authors>
  <commentList>
    <comment ref="C4" authorId="0">
      <text>
        <r>
          <rPr>
            <sz val="12"/>
            <rFont val="Times New Roman"/>
            <charset val="204"/>
          </rPr>
          <t xml:space="preserve">А.Джумабеков: Гос.налог. Комитет РУ №2002-3 от 3.01.02г. Раздел 9: налог на имущество юр. Лиц уплачивается с среднегодовой остаточной стоимости имущества с учетом его переоценки по ставке 2 %.
</t>
        </r>
      </text>
    </comment>
  </commentList>
</comments>
</file>

<file path=xl/comments2.xml><?xml version="1.0" encoding="utf-8"?>
<comments xmlns="http://schemas.openxmlformats.org/spreadsheetml/2006/main">
  <authors>
    <author>Хайдаров У.</author>
  </authors>
  <commentList>
    <comment ref="B16" authorId="0">
      <text>
        <r>
          <rPr>
            <sz val="12"/>
            <rFont val="Times New Roman"/>
            <charset val="204"/>
          </rPr>
          <t>Хайдаров У.:
Налог на соц.инф 6%, сбор за благ. территории - 2%, налог на рекламу 15% от марк. издержек, также надо учитивать налог на выбросы загрязняющих веществ</t>
        </r>
      </text>
    </comment>
  </commentList>
</comments>
</file>

<file path=xl/sharedStrings.xml><?xml version="1.0" encoding="utf-8"?>
<sst xmlns="http://schemas.openxmlformats.org/spreadsheetml/2006/main" count="695" uniqueCount="460">
  <si>
    <t xml:space="preserve">Loyiha nomi: </t>
  </si>
  <si>
    <t>Parrandachilik</t>
  </si>
  <si>
    <t xml:space="preserve">Loyiha tashabbuskori: </t>
  </si>
  <si>
    <t>"Bobur Аkbarov" MCHJ</t>
  </si>
  <si>
    <t xml:space="preserve">Tadbirkor manzili: </t>
  </si>
  <si>
    <t>Namangan viloyati Kosonsoy tumani Chindovul 3-uy</t>
  </si>
  <si>
    <t xml:space="preserve">Xizmat ko‘rsatuvchi bank: </t>
  </si>
  <si>
    <t>Agrobank Kosonsoy</t>
  </si>
  <si>
    <t xml:space="preserve">STIR: </t>
  </si>
  <si>
    <t>00231</t>
  </si>
  <si>
    <t>JSHSHIR:</t>
  </si>
  <si>
    <t>30707942190044</t>
  </si>
  <si>
    <t xml:space="preserve">Asosiy faoliyat turi: </t>
  </si>
  <si>
    <t>Tovuq boqish</t>
  </si>
  <si>
    <t xml:space="preserve">Mulkchilik shakli: </t>
  </si>
  <si>
    <t>Masuliyati cheklangan jamiyat</t>
  </si>
  <si>
    <t xml:space="preserve">F.I.O: </t>
  </si>
  <si>
    <t>Akbarov boburjon Sobirjon o'g'li</t>
  </si>
  <si>
    <t xml:space="preserve">Pasport ma'lumotlati: </t>
  </si>
  <si>
    <t>AD 3859855</t>
  </si>
  <si>
    <t xml:space="preserve">Berilgan vaqti: </t>
  </si>
  <si>
    <t>07.07.1994</t>
  </si>
  <si>
    <t xml:space="preserve">Loyihaning qiymati: </t>
  </si>
  <si>
    <t>150000000</t>
  </si>
  <si>
    <t>O'z mablag'i</t>
  </si>
  <si>
    <t>50000000</t>
  </si>
  <si>
    <t>So‘ralayotgan kredit summasi</t>
  </si>
  <si>
    <t>100000000</t>
  </si>
  <si>
    <t>Kredit muddati (oylarda)</t>
  </si>
  <si>
    <t>84</t>
  </si>
  <si>
    <t>Imtiyozli davr (oylarda)</t>
  </si>
  <si>
    <t>24</t>
  </si>
  <si>
    <t>Bank foiz stavkasi</t>
  </si>
  <si>
    <t>18</t>
  </si>
  <si>
    <t>Mahsulot nomi</t>
  </si>
  <si>
    <t>Mahsulotning yillik maksimal ishlab chiqarish hajmi</t>
  </si>
  <si>
    <t>2000</t>
  </si>
  <si>
    <t>O‘lchov birligi (mahsulot soni)</t>
  </si>
  <si>
    <t>51111</t>
  </si>
  <si>
    <t>Mahsulot sotish narxi (bir dona uchun, QQSsiz, loyiha valyutasida)</t>
  </si>
  <si>
    <t>5000</t>
  </si>
  <si>
    <t>Direktor</t>
  </si>
  <si>
    <t>1</t>
  </si>
  <si>
    <t>Ishlab chiqarish xodimlari soni</t>
  </si>
  <si>
    <t>2</t>
  </si>
  <si>
    <t>Yangi ishchi xodimlar soni</t>
  </si>
  <si>
    <t>4</t>
  </si>
  <si>
    <t>Ishlab chiqarish xodimlarining o‘rtacha oyligi</t>
  </si>
  <si>
    <t>1500000</t>
  </si>
  <si>
    <t>Rahbar oyligi</t>
  </si>
  <si>
    <t>1200000</t>
  </si>
  <si>
    <t>Yangi ishchi xodimlar oyligi</t>
  </si>
  <si>
    <t>Mahsulot ishlab chiqarishda foydalaniladigan muhandislik tarmoqlarini belgilang</t>
  </si>
  <si>
    <t>Elektr energiyasi</t>
  </si>
  <si>
    <t>200</t>
  </si>
  <si>
    <t>Gaz</t>
  </si>
  <si>
    <t>10</t>
  </si>
  <si>
    <t>Suv</t>
  </si>
  <si>
    <t>Oqava suv</t>
  </si>
  <si>
    <t>LOYIHA QIYMATI</t>
  </si>
  <si>
    <t>1-ILOVA</t>
  </si>
  <si>
    <t>%</t>
  </si>
  <si>
    <t>BANK KREDITI, so'm</t>
  </si>
  <si>
    <t>Jami (so'm)</t>
  </si>
  <si>
    <t>Foiz hisobida</t>
  </si>
  <si>
    <t>Asosiy vositalarni sotib olish (mebel jihozlari)</t>
  </si>
  <si>
    <t>Asosiy vositalar</t>
  </si>
  <si>
    <t>JAMI mablag'lar</t>
  </si>
  <si>
    <t>Aylanma kapital</t>
  </si>
  <si>
    <t>MOLIYAVIY XARAJATLAR</t>
  </si>
  <si>
    <t>Sug'urta</t>
  </si>
  <si>
    <t>Kredit olish uchun boshqa xarajatlar</t>
  </si>
  <si>
    <t>MOLIYAVIY REJA</t>
  </si>
  <si>
    <t>2-ILOVA</t>
  </si>
  <si>
    <t xml:space="preserve">Milly valyuta, so'm </t>
  </si>
  <si>
    <t>Jami</t>
  </si>
  <si>
    <t>Struktura</t>
  </si>
  <si>
    <t>Foizda</t>
  </si>
  <si>
    <t>Kapital</t>
  </si>
  <si>
    <t>O'z mablag'lari</t>
  </si>
  <si>
    <t>Jami kapital</t>
  </si>
  <si>
    <t>Qarzga olingan mablag'lar</t>
  </si>
  <si>
    <t>Jami qarz mablag'lari</t>
  </si>
  <si>
    <t>Jami moliyalashtirish</t>
  </si>
  <si>
    <t>Финансирование  от Стройкомплектсервис</t>
  </si>
  <si>
    <t>в долл.США</t>
  </si>
  <si>
    <t>Всего</t>
  </si>
  <si>
    <t>1.</t>
  </si>
  <si>
    <t>Строительство и реконстр. сущ. здания</t>
  </si>
  <si>
    <t>2.</t>
  </si>
  <si>
    <t>Местное сырье</t>
  </si>
  <si>
    <t>3.</t>
  </si>
  <si>
    <t>Резерв на рабочий капитал</t>
  </si>
  <si>
    <t>Всего от СКС</t>
  </si>
  <si>
    <t>Разница   будет оплачена посредством предоставления кредита на сумму</t>
  </si>
  <si>
    <t>сроком на 1-год с начала производства</t>
  </si>
  <si>
    <t>Финансирование от АО "Подъемник"</t>
  </si>
  <si>
    <t>в твердой валюте</t>
  </si>
  <si>
    <t>Здания и сооружения и инфраструктура к ним</t>
  </si>
  <si>
    <t>Всего от Подъемник</t>
  </si>
  <si>
    <t>Финансирвание от МФК</t>
  </si>
  <si>
    <t>Машины и оборудования</t>
  </si>
  <si>
    <t>Транспорт и страхование</t>
  </si>
  <si>
    <t>Монтаж и запуск</t>
  </si>
  <si>
    <t>4.</t>
  </si>
  <si>
    <t>Грузовая машина</t>
  </si>
  <si>
    <t>5.</t>
  </si>
  <si>
    <t>Охранная видео система</t>
  </si>
  <si>
    <t>6.</t>
  </si>
  <si>
    <t>Накладные расходы</t>
  </si>
  <si>
    <t>7.</t>
  </si>
  <si>
    <t>Вспомогательные материалы</t>
  </si>
  <si>
    <t>8.</t>
  </si>
  <si>
    <t>Запасные части</t>
  </si>
  <si>
    <t>9.</t>
  </si>
  <si>
    <t>Финансовые расходы</t>
  </si>
  <si>
    <t>10.</t>
  </si>
  <si>
    <t>Резерв</t>
  </si>
  <si>
    <t>Всего от МФК</t>
  </si>
  <si>
    <t>Финансирование от Банка "Асака" (по кредитной линии МФК/Асака)</t>
  </si>
  <si>
    <t>Всего от Банка "Асака"</t>
  </si>
  <si>
    <t>Недостающая сумма</t>
  </si>
  <si>
    <t>Проценты в инв. Период</t>
  </si>
  <si>
    <t xml:space="preserve">Страхование залога </t>
  </si>
  <si>
    <t>оформление залога</t>
  </si>
  <si>
    <t>открытие аккредитива</t>
  </si>
  <si>
    <t>одноразовая комиссия</t>
  </si>
  <si>
    <t>Юридические расходы</t>
  </si>
  <si>
    <t>Всего недостающая сумма</t>
  </si>
  <si>
    <t>LOYIHA ISHTIROKCHILARI XARAJATLARINING ulushi</t>
  </si>
  <si>
    <t>3-ILOVA</t>
  </si>
  <si>
    <t>Ko'rsatkichlar</t>
  </si>
  <si>
    <t>Milliy valyutada, so'm</t>
  </si>
  <si>
    <t>Jami, summa</t>
  </si>
  <si>
    <t>ASOSIY KAPITALLARNING TO'LIQ XARAJATLARI</t>
  </si>
  <si>
    <t>TO'LIQ ISHLAB CHIQARISH XARAJATLARI</t>
  </si>
  <si>
    <t>JAMI BIRINCHI INVESTITSIYA XARAJATLARI</t>
  </si>
  <si>
    <t>4-ILOVA</t>
  </si>
  <si>
    <t>AMORTIZATSIYA HISOBOTLARI</t>
  </si>
  <si>
    <t>Amortizatsiya ob'ektlari</t>
  </si>
  <si>
    <t>Xarajat (amortizatsiya qilinadigan baza)</t>
  </si>
  <si>
    <t>Amortizatsiya darajasi (%)</t>
  </si>
  <si>
    <t>1-yil</t>
  </si>
  <si>
    <t>2-yil</t>
  </si>
  <si>
    <t>3-yil</t>
  </si>
  <si>
    <t>4-yil</t>
  </si>
  <si>
    <t>5-yil</t>
  </si>
  <si>
    <t>6-yil</t>
  </si>
  <si>
    <t>7-yil</t>
  </si>
  <si>
    <t>Jami amortizatsiya</t>
  </si>
  <si>
    <t>Х</t>
  </si>
  <si>
    <t>Yig'ilgan amortizatsiya</t>
  </si>
  <si>
    <t>5-ILOVA</t>
  </si>
  <si>
    <t>ISH HAQI XARAJATLARI</t>
  </si>
  <si>
    <t>LAVOZIM</t>
  </si>
  <si>
    <t>SONI</t>
  </si>
  <si>
    <t>MAOSH (so'm)</t>
  </si>
  <si>
    <t>Oylik maosh (so'm)</t>
  </si>
  <si>
    <t>YILLIK maosh (so'm)</t>
  </si>
  <si>
    <t>Ma'muriyat</t>
  </si>
  <si>
    <t>JAMI</t>
  </si>
  <si>
    <t>Ijtimoiy soliq</t>
  </si>
  <si>
    <t>yillik ish haqi fondidan</t>
  </si>
  <si>
    <t>ISHCHI XODIM</t>
  </si>
  <si>
    <t>Ishchilar</t>
  </si>
  <si>
    <t>YANGI IShChI XODIM</t>
  </si>
  <si>
    <t>Ishchi</t>
  </si>
  <si>
    <t>FOYDALANISH XARAJATLARI</t>
  </si>
  <si>
    <t>BO'LIMLAR</t>
  </si>
  <si>
    <t>O'Lchov birligi</t>
  </si>
  <si>
    <t>YILLIK ISTE'MOL</t>
  </si>
  <si>
    <t>BIR BIRLIK NARXI (SO'M)</t>
  </si>
  <si>
    <t>YILLIK XARAJATLAR (SO'M)</t>
  </si>
  <si>
    <t>Elektr</t>
  </si>
  <si>
    <t>kvt/soat</t>
  </si>
  <si>
    <t>kb/m</t>
  </si>
  <si>
    <t>х</t>
  </si>
  <si>
    <t>XIZMAT KO'RSATISH VA SOTISH REJASI</t>
  </si>
  <si>
    <t>6-ILOVA</t>
  </si>
  <si>
    <t>NOMI</t>
  </si>
  <si>
    <t>Ishlab chiqarish hajmi dona/yil</t>
  </si>
  <si>
    <t>Xizmat ko'rsatish soni</t>
  </si>
  <si>
    <t>Jami xizmat ko'rsatish hajmi dona/yil</t>
  </si>
  <si>
    <t>O'rtacha sotuv narxi (so'm)</t>
  </si>
  <si>
    <t>1 yillik savdo tushumi</t>
  </si>
  <si>
    <t>SOTISH REJASI</t>
  </si>
  <si>
    <t>Birlik</t>
  </si>
  <si>
    <t>SOTISH HAJMI MAX. PROD. YILGA DASTUR, BIRLIKLAR</t>
  </si>
  <si>
    <t>O'rtacha xizmat narxi (so'm)</t>
  </si>
  <si>
    <t>Zaxiradagi tayyor mahsulot</t>
  </si>
  <si>
    <t>dona</t>
  </si>
  <si>
    <t>шт</t>
  </si>
  <si>
    <t>KO'RSATGICHLAR</t>
  </si>
  <si>
    <t>Quvvatlarni ishga tushirish</t>
  </si>
  <si>
    <t>ISHLAB CHIQARISH HAJMI</t>
  </si>
  <si>
    <t>ЗАПАСЫ НА КОНЕЦ ГОДА</t>
  </si>
  <si>
    <t>14</t>
  </si>
  <si>
    <t>JAMI SOTISH DAROMADLARI</t>
  </si>
  <si>
    <t>8-9-ILOVA</t>
  </si>
  <si>
    <t xml:space="preserve">                TO'LOV GRAFIGI</t>
  </si>
  <si>
    <t>Kredit muddati</t>
  </si>
  <si>
    <t>oy</t>
  </si>
  <si>
    <t>Imtiyozli davr</t>
  </si>
  <si>
    <t>Foiz</t>
  </si>
  <si>
    <t>foiz</t>
  </si>
  <si>
    <t>Jamg'arma kompensatsiyasi</t>
  </si>
  <si>
    <t>Kredit summasi</t>
  </si>
  <si>
    <t>sum</t>
  </si>
  <si>
    <t>OYLAR</t>
  </si>
  <si>
    <t>ASOSIY QARZ TO'LOVI</t>
  </si>
  <si>
    <t>ASOSIY QARZ QOLDIG'I</t>
  </si>
  <si>
    <t>FOIZ TO'LOVLARI</t>
  </si>
  <si>
    <t>JAMI TO'LOV</t>
  </si>
  <si>
    <t>1-йил</t>
  </si>
  <si>
    <t>2-йил</t>
  </si>
  <si>
    <t>3-йил</t>
  </si>
  <si>
    <t>4-йил</t>
  </si>
  <si>
    <t>5-йил</t>
  </si>
  <si>
    <t>6-йил</t>
  </si>
  <si>
    <t>7-йил</t>
  </si>
  <si>
    <t>7-ILOVA</t>
  </si>
  <si>
    <t>SOLIQ VA BOJLAR</t>
  </si>
  <si>
    <t>Soliqlar va chegirmalar turlari</t>
  </si>
  <si>
    <t>Soliq stavkasi</t>
  </si>
  <si>
    <t>Soliq solish obyekti</t>
  </si>
  <si>
    <t>Налог на имущество</t>
  </si>
  <si>
    <t>от среднегодовой стоимости имущества</t>
  </si>
  <si>
    <t>Земельный налог</t>
  </si>
  <si>
    <t>исходя из занимаемой площади</t>
  </si>
  <si>
    <t>Налог на недра</t>
  </si>
  <si>
    <t>Налоги включаемые в себестоимость</t>
  </si>
  <si>
    <t>Отчисления в ЕДФ</t>
  </si>
  <si>
    <t>от объема реализации</t>
  </si>
  <si>
    <t>Отчисления в пенс. Фонд</t>
  </si>
  <si>
    <t>Экологический налог</t>
  </si>
  <si>
    <t>от себестоимости</t>
  </si>
  <si>
    <t xml:space="preserve">Налоги и сборы вкл. в расходы периода </t>
  </si>
  <si>
    <t xml:space="preserve">Yagona soliq to'lovi </t>
  </si>
  <si>
    <t>sotishdan tushgan daromad</t>
  </si>
  <si>
    <t>Акцизный налог</t>
  </si>
  <si>
    <t>от выручки</t>
  </si>
  <si>
    <t>НДС</t>
  </si>
  <si>
    <t>Другие местные налоги и сборы</t>
  </si>
  <si>
    <t>от прибыли</t>
  </si>
  <si>
    <t>JAMIY SOLIQ VA BOJLARI</t>
  </si>
  <si>
    <t>ПРИЛОЖЕНИЕ 9</t>
  </si>
  <si>
    <t xml:space="preserve">                ВЫПЛАТЫ ПО ДОЛГОСРОЧНОМУ КРЕДИТУ</t>
  </si>
  <si>
    <t xml:space="preserve">Срок кредита </t>
  </si>
  <si>
    <t>7 лет</t>
  </si>
  <si>
    <t xml:space="preserve"> Инвестиционный период</t>
  </si>
  <si>
    <t>0 месяц</t>
  </si>
  <si>
    <t>Льготный период</t>
  </si>
  <si>
    <t>24 месяц</t>
  </si>
  <si>
    <t>Процентная ставка</t>
  </si>
  <si>
    <t>Периодичность выплат</t>
  </si>
  <si>
    <t>ежемесячно</t>
  </si>
  <si>
    <t>сумма кредита (евро)</t>
  </si>
  <si>
    <t>ПЕРИОДЫ ВЫПЛАТ</t>
  </si>
  <si>
    <t>ПОГАШЕНИЕ ОСНОВНОГО ДОЛГА</t>
  </si>
  <si>
    <t>ОСТАТОК ССУДНОЙ ЗАДОЛЖЕННОСТИ</t>
  </si>
  <si>
    <t>ВЫПЛАТЫ ПРОЦЕНТОВ</t>
  </si>
  <si>
    <t>ВСЕГО ВЫПЛАТ</t>
  </si>
  <si>
    <t>1 мес</t>
  </si>
  <si>
    <t>1год</t>
  </si>
  <si>
    <t>2 мес</t>
  </si>
  <si>
    <t>3 мес</t>
  </si>
  <si>
    <t>4 мес</t>
  </si>
  <si>
    <t>5 мес</t>
  </si>
  <si>
    <t>6 мес</t>
  </si>
  <si>
    <t>7 мес</t>
  </si>
  <si>
    <t>8 мес</t>
  </si>
  <si>
    <t>9 мес</t>
  </si>
  <si>
    <t>10 мес</t>
  </si>
  <si>
    <t>11 мес</t>
  </si>
  <si>
    <t>12 мес</t>
  </si>
  <si>
    <t>13 мес</t>
  </si>
  <si>
    <t>2год</t>
  </si>
  <si>
    <t>14 мес</t>
  </si>
  <si>
    <t>15 мес</t>
  </si>
  <si>
    <t>16 мес</t>
  </si>
  <si>
    <t>17 мес</t>
  </si>
  <si>
    <t>18 мес</t>
  </si>
  <si>
    <t>19 мес</t>
  </si>
  <si>
    <t>20 мес</t>
  </si>
  <si>
    <t>21 мес</t>
  </si>
  <si>
    <t>22 мес</t>
  </si>
  <si>
    <t>23 мес</t>
  </si>
  <si>
    <t>24 мес</t>
  </si>
  <si>
    <t>25 мес</t>
  </si>
  <si>
    <t>3год</t>
  </si>
  <si>
    <t>26 мес</t>
  </si>
  <si>
    <t>27 мес</t>
  </si>
  <si>
    <t>28 мес</t>
  </si>
  <si>
    <t>29 мес</t>
  </si>
  <si>
    <t>30 мес</t>
  </si>
  <si>
    <t>31 мес</t>
  </si>
  <si>
    <t>32 мес</t>
  </si>
  <si>
    <t>33 мес</t>
  </si>
  <si>
    <t>34 мес</t>
  </si>
  <si>
    <t>35 мес</t>
  </si>
  <si>
    <t>36 мес</t>
  </si>
  <si>
    <t>37 мес</t>
  </si>
  <si>
    <t>4год</t>
  </si>
  <si>
    <t>38 мес</t>
  </si>
  <si>
    <t>39 мес</t>
  </si>
  <si>
    <t>40 мес</t>
  </si>
  <si>
    <t>41 мес</t>
  </si>
  <si>
    <t>42 мес</t>
  </si>
  <si>
    <t>43 мес</t>
  </si>
  <si>
    <t>44 мес</t>
  </si>
  <si>
    <t>45 мес</t>
  </si>
  <si>
    <t>46 мес</t>
  </si>
  <si>
    <t>47 мес</t>
  </si>
  <si>
    <t>48 мес</t>
  </si>
  <si>
    <t>49 мес</t>
  </si>
  <si>
    <t>5год</t>
  </si>
  <si>
    <t>50 мес</t>
  </si>
  <si>
    <t>51 мес</t>
  </si>
  <si>
    <t>52 мес</t>
  </si>
  <si>
    <t>53 мес</t>
  </si>
  <si>
    <t>54 мес</t>
  </si>
  <si>
    <t>55 мес</t>
  </si>
  <si>
    <t>56 мес</t>
  </si>
  <si>
    <t>57 мес</t>
  </si>
  <si>
    <t>58 мес</t>
  </si>
  <si>
    <t>59 мес</t>
  </si>
  <si>
    <t>60 мес</t>
  </si>
  <si>
    <t>61 мес</t>
  </si>
  <si>
    <t>62 мес</t>
  </si>
  <si>
    <t>63 мес</t>
  </si>
  <si>
    <t>64 мес</t>
  </si>
  <si>
    <t>65 мес</t>
  </si>
  <si>
    <t>66 мес</t>
  </si>
  <si>
    <t>67 мес</t>
  </si>
  <si>
    <t>68 мес</t>
  </si>
  <si>
    <t>69 мес</t>
  </si>
  <si>
    <t>70 мес</t>
  </si>
  <si>
    <t>71 мес</t>
  </si>
  <si>
    <t>72 мес</t>
  </si>
  <si>
    <t>73 мес</t>
  </si>
  <si>
    <t>74 мес</t>
  </si>
  <si>
    <t>75 мес</t>
  </si>
  <si>
    <t>76 мес</t>
  </si>
  <si>
    <t>77 мес</t>
  </si>
  <si>
    <t>78 мес</t>
  </si>
  <si>
    <t>79 мес</t>
  </si>
  <si>
    <t>80 мес</t>
  </si>
  <si>
    <t>81 мес</t>
  </si>
  <si>
    <t>82 мес</t>
  </si>
  <si>
    <t>83 мес</t>
  </si>
  <si>
    <t>84 мес</t>
  </si>
  <si>
    <t>ИТОГО</t>
  </si>
  <si>
    <t xml:space="preserve"> </t>
  </si>
  <si>
    <t>TO'LIQ QUVVATLI BO'LGAN ISHLAB CHIQARISH XARAJATLARI</t>
  </si>
  <si>
    <t>10-ILOVA</t>
  </si>
  <si>
    <t>Допущения использованные в расчетах</t>
  </si>
  <si>
    <t>XARAJATLAR</t>
  </si>
  <si>
    <t>TO'LIQ XARAJATLAR</t>
  </si>
  <si>
    <t>DOIMIY XARAJATLAR</t>
  </si>
  <si>
    <t>O'ZGARUVChAN XARAJATLAR</t>
  </si>
  <si>
    <t>Статьи расходов</t>
  </si>
  <si>
    <t>Примечания</t>
  </si>
  <si>
    <t>сумма в сум</t>
  </si>
  <si>
    <t>сумма</t>
  </si>
  <si>
    <t xml:space="preserve"> %</t>
  </si>
  <si>
    <t>Расходы на рекламу</t>
  </si>
  <si>
    <t>11200 тыс. сум в году, взята с предоставленного допольнения</t>
  </si>
  <si>
    <t>To'g'ridan-to'g'ri xarajatlar</t>
  </si>
  <si>
    <t>Торговые издержки</t>
  </si>
  <si>
    <t xml:space="preserve">Расходы на упаковку, невозврат. Тара и доставку, взят с доп. </t>
  </si>
  <si>
    <t>Operatsion xarajatlar</t>
  </si>
  <si>
    <t>Инженерные коммуникации</t>
  </si>
  <si>
    <t xml:space="preserve">Прокладка, обсл. И прозвонка действующих инж. Комм. </t>
  </si>
  <si>
    <t>Офисные расходы</t>
  </si>
  <si>
    <t>На покупку канц. Товаров и представительские расходы</t>
  </si>
  <si>
    <t>Ishlab chiqarish xodimlarining ish haqi</t>
  </si>
  <si>
    <t>Транспортные расходы</t>
  </si>
  <si>
    <t>Расходы на ж/д транспорт</t>
  </si>
  <si>
    <t>Ma'muriyat xodimlari ish haqi</t>
  </si>
  <si>
    <t>ГСМ</t>
  </si>
  <si>
    <t>На диз. Топливо 17 000 литров и автомобильных масел</t>
  </si>
  <si>
    <t>Юридические и финансовые расходы</t>
  </si>
  <si>
    <t>На оплату банковских и юридических услуг</t>
  </si>
  <si>
    <t xml:space="preserve">Boshqa ma'muriy xarajatlar </t>
  </si>
  <si>
    <t xml:space="preserve">Asosiy vositalarga texnik xizmat ko'rsatish va joriy ta'mirlash </t>
  </si>
  <si>
    <t>Marketing xarajatlari (0,2%)</t>
  </si>
  <si>
    <t>Boshqa ko'zda tutilmagan xarajatlar</t>
  </si>
  <si>
    <t>JAMI XARAJATLAR</t>
  </si>
  <si>
    <t>TO'LIQ QUVVATDA SOTISH</t>
  </si>
  <si>
    <t>Итого прочие расходы</t>
  </si>
  <si>
    <t>ZARARSIZLANISH NUQTASI</t>
  </si>
  <si>
    <t>TO'LIQ YILLIK XARAJATLAR</t>
  </si>
  <si>
    <t>11-ILOVA</t>
  </si>
  <si>
    <t>Xarajat moddalari</t>
  </si>
  <si>
    <t>Rivojlanish quvvati</t>
  </si>
  <si>
    <t>Amortizatsiya</t>
  </si>
  <si>
    <t>TANNARX</t>
  </si>
  <si>
    <t>Marketing xarajatlar</t>
  </si>
  <si>
    <t>Davr xarajatlari</t>
  </si>
  <si>
    <t>Kredit foizlari</t>
  </si>
  <si>
    <t>Jami moliyaviy xarajatlar</t>
  </si>
  <si>
    <t>SOTILGAN MAHSULOTLARNING XARAJATLARI</t>
  </si>
  <si>
    <t>KUTILAYOTGAN FOYDA VA ZARAR</t>
  </si>
  <si>
    <t>12-ILOVA</t>
  </si>
  <si>
    <t>Ko'rsatgichlar</t>
  </si>
  <si>
    <t>Sotishdan tushgan daromad</t>
  </si>
  <si>
    <t>Налог на потребление ГСМ</t>
  </si>
  <si>
    <t>Sof sotishdan tushgan daromad</t>
  </si>
  <si>
    <t>xizmatlar</t>
  </si>
  <si>
    <t>Umumiy daromad</t>
  </si>
  <si>
    <t>Ma'muriy xarajatlar</t>
  </si>
  <si>
    <t>Boshqa xarajatlar</t>
  </si>
  <si>
    <t>Operatsion foyda</t>
  </si>
  <si>
    <t>Moliyaviy xarajatlar</t>
  </si>
  <si>
    <t>Soliq to'laguncha foyda</t>
  </si>
  <si>
    <t>soliqlar</t>
  </si>
  <si>
    <t>Прочие налоги и отчисления</t>
  </si>
  <si>
    <t>Sof daromad</t>
  </si>
  <si>
    <t>Rentabillik ko'rsatgichlari</t>
  </si>
  <si>
    <t>Sof rentabillik</t>
  </si>
  <si>
    <t>Yalpi rentabillik</t>
  </si>
  <si>
    <t>PUL OQIMI</t>
  </si>
  <si>
    <t>13-ILOVA</t>
  </si>
  <si>
    <t>0 год</t>
  </si>
  <si>
    <t>Sotishdan tushgan tushum</t>
  </si>
  <si>
    <t>Sotishdan tushgan naqd pul</t>
  </si>
  <si>
    <t>Xizmatning bevosita xarajatlari</t>
  </si>
  <si>
    <t>Yalpi pul tushumi</t>
  </si>
  <si>
    <t>Operatsion pul oqimi</t>
  </si>
  <si>
    <t>Собственные средства</t>
  </si>
  <si>
    <t>Инвестиции в основной капитал</t>
  </si>
  <si>
    <t>Финансовые издержки</t>
  </si>
  <si>
    <t>Foiz to'lovlari</t>
  </si>
  <si>
    <t>Soliqlar</t>
  </si>
  <si>
    <t>Sof pul oqimi</t>
  </si>
  <si>
    <t>Asosiy qarz to'lovi</t>
  </si>
  <si>
    <t>Kredit to'langanidan keyin naqd pul</t>
  </si>
  <si>
    <t>Moliyaviy so'rovlar</t>
  </si>
  <si>
    <t>Поток наличности</t>
  </si>
  <si>
    <t>Kumulyatuv pul oqimi</t>
  </si>
  <si>
    <t>Xizmat ko'rsatish omili. Qarz</t>
  </si>
  <si>
    <t>-</t>
  </si>
  <si>
    <t>14-ILOVA</t>
  </si>
  <si>
    <t>Sof joriy qiymatni hisoblash</t>
  </si>
  <si>
    <t>YIL</t>
  </si>
  <si>
    <t>13,5% qayta moliyalash stavkasi bo'yicha chegirma koeffitsienti (o'rtacha tortilgan stavka)</t>
  </si>
  <si>
    <t>Pul oqimining joriy qiymati</t>
  </si>
  <si>
    <t>Investitsion xarajatlar</t>
  </si>
  <si>
    <t>Jami joriy qiymat</t>
  </si>
  <si>
    <t>JJQ</t>
  </si>
  <si>
    <t>IX</t>
  </si>
  <si>
    <t>Sof joriy qiymatni hisoblash (SJQ=JJQ-IX)</t>
  </si>
  <si>
    <t>SJQ</t>
  </si>
  <si>
    <t>Investitsiyalar rentabelligi indeksini hisoblash IR=SJQ/IX+1</t>
  </si>
  <si>
    <t>IR</t>
  </si>
  <si>
    <t>Ichki daromad darajasi</t>
  </si>
  <si>
    <t>IDD</t>
  </si>
  <si>
    <t>Investitsiyalarni qaytarish muddati
diskontlangan pul oqimi loyihasi</t>
  </si>
  <si>
    <t>IQM</t>
  </si>
  <si>
    <t>Bobur Аkbarov MCHJ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</si>
</sst>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8" formatCode="#,##0.00\ &quot;₽&quot;;[Red]\-#,##0.00\ &quot;₽&quot;"/>
    <numFmt numFmtId="164" formatCode="0.0%"/>
    <numFmt numFmtId="165" formatCode="#,##0.00_ ;\-#,##0.00\ "/>
    <numFmt numFmtId="166" formatCode="_-* #,##0_р_._-;\-* #,##0_р_._-;_-* &quot;-&quot;_р_._-;_-@_-"/>
    <numFmt numFmtId="167" formatCode="#,##0_ ;\-#,##0\ "/>
    <numFmt numFmtId="168" formatCode="#,##0_);[Red]\(#,##0\)"/>
    <numFmt numFmtId="169" formatCode="_-* #,##0_р_._-;\-* #,##0_р_._-;_-* &quot;-&quot;??_р_._-;_-@_-"/>
    <numFmt numFmtId="170" formatCode="#,##0_р_."/>
    <numFmt numFmtId="171" formatCode="_-* #,##0.00_р_._-;\-* #,##0.00_р_._-;_-* &quot;-&quot;??_р_._-;_-@_-"/>
    <numFmt numFmtId="172" formatCode="_-* #,##0.0_р_._-;\-* #,##0.0_р_._-;_-* &quot;-&quot;??_р_._-;_-@_-"/>
    <numFmt numFmtId="173" formatCode="_-* #,##0.0_р_._-;\-* #,##0.0_р_._-;_-* &quot;-&quot;?_р_._-;_-@_-"/>
    <numFmt numFmtId="174" formatCode="#,##0.0_р_."/>
    <numFmt numFmtId="175" formatCode="_-* #,##0.000_р_._-;\-* #,##0.000_р_._-;_-* &quot;-&quot;?_р_._-;_-@_-"/>
    <numFmt numFmtId="176" formatCode="0.0"/>
    <numFmt numFmtId="177" formatCode="_-* #,##0.000_р_._-;\-* #,##0.000_р_._-;_-* &quot;-&quot;_р_._-;_-@_-"/>
    <numFmt numFmtId="178" formatCode="#,##0.00_р_."/>
    <numFmt numFmtId="179" formatCode="#,##0.000"/>
  </numFmts>
  <fonts count="59" x14ac:knownFonts="1">
    <font>
      <sz val="12"/>
      <name val="Times New Roman"/>
      <charset val="204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Times New Roman"/>
      <family val="1"/>
      <charset val="204"/>
    </font>
    <font>
      <sz val="11"/>
      <color indexed="12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2"/>
      <color indexed="12"/>
      <name val="Times New Roman"/>
      <family val="1"/>
      <charset val="204"/>
    </font>
    <font>
      <i/>
      <sz val="11"/>
      <color indexed="12"/>
      <name val="Times New Roman"/>
      <family val="1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color indexed="12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1"/>
      <color indexed="12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9"/>
      <color indexed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2"/>
      <name val="Times New Roman Cyr"/>
      <family val="1"/>
      <charset val="204"/>
    </font>
    <font>
      <i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1"/>
      <name val="Times New Roman Cyr"/>
      <family val="1"/>
      <charset val="204"/>
    </font>
    <font>
      <sz val="8"/>
      <name val="Times New Roman Cyr"/>
      <family val="1"/>
      <charset val="204"/>
    </font>
    <font>
      <sz val="12.5"/>
      <name val="Times New Roman Cyr"/>
      <family val="1"/>
      <charset val="204"/>
    </font>
    <font>
      <b/>
      <sz val="12.5"/>
      <name val="Times New Roman Cyr"/>
      <family val="1"/>
      <charset val="204"/>
    </font>
    <font>
      <sz val="12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sz val="12"/>
      <color indexed="39"/>
      <name val="Times New Roman"/>
      <family val="1"/>
      <charset val="204"/>
    </font>
    <font>
      <sz val="12"/>
      <name val="Arial Cyr"/>
      <charset val="204"/>
    </font>
    <font>
      <b/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1"/>
      <name val="Times New Roman Cyr"/>
      <family val="1"/>
      <charset val="204"/>
    </font>
    <font>
      <i/>
      <sz val="12"/>
      <name val="Times New Roman Cyr"/>
      <charset val="204"/>
    </font>
    <font>
      <b/>
      <sz val="12.5"/>
      <name val="Times New Roman Cyr"/>
      <charset val="204"/>
    </font>
    <font>
      <sz val="12.5"/>
      <name val="Times New Roman Cyr"/>
      <charset val="204"/>
    </font>
    <font>
      <sz val="10"/>
      <name val="Arial"/>
      <family val="2"/>
      <charset val="162"/>
    </font>
    <font>
      <sz val="10"/>
      <name val="Arial"/>
      <family val="2"/>
      <charset val="204"/>
    </font>
    <font>
      <b/>
      <sz val="12"/>
      <name val="Times New Roman Cyr"/>
      <charset val="204"/>
    </font>
    <font>
      <b/>
      <sz val="11"/>
      <name val="Times New Roman Cyr"/>
      <charset val="204"/>
    </font>
    <font>
      <b/>
      <sz val="13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i/>
      <sz val="16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11"/>
      <name val="Calibri"/>
      <family val="2"/>
      <charset val="204"/>
    </font>
    <font>
      <b/>
      <sz val="9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8"/>
      <color indexed="12"/>
      <name val="Times New Roman"/>
      <family val="1"/>
      <charset val="204"/>
    </font>
    <font>
      <b/>
      <i/>
      <sz val="9"/>
      <color indexed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44" fillId="0" borderId="0"/>
    <xf numFmtId="0" fontId="1" fillId="0" borderId="0"/>
    <xf numFmtId="0" fontId="45" fillId="0" borderId="0"/>
    <xf numFmtId="0" fontId="12" fillId="0" borderId="0"/>
    <xf numFmtId="9" fontId="31" fillId="0" borderId="0"/>
    <xf numFmtId="171" fontId="31" fillId="0" borderId="0"/>
    <xf numFmtId="166" fontId="31" fillId="0" borderId="0"/>
  </cellStyleXfs>
  <cellXfs count="543">
    <xf numFmtId="0" fontId="0" fillId="0" borderId="0" xfId="0"/>
    <xf numFmtId="0" fontId="3" fillId="0" borderId="1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Alignment="1">
      <alignment horizontal="center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/>
    <xf numFmtId="9" fontId="7" fillId="0" borderId="1" xfId="0" applyNumberFormat="1" applyFont="1" applyBorder="1" applyAlignment="1">
      <alignment horizontal="center" vertical="center"/>
    </xf>
    <xf numFmtId="38" fontId="7" fillId="0" borderId="1" xfId="0" applyNumberFormat="1" applyFont="1" applyBorder="1"/>
    <xf numFmtId="0" fontId="3" fillId="0" borderId="14" xfId="0" applyFont="1" applyBorder="1" applyAlignment="1">
      <alignment horizontal="center"/>
    </xf>
    <xf numFmtId="0" fontId="14" fillId="0" borderId="0" xfId="4" applyFont="1"/>
    <xf numFmtId="0" fontId="3" fillId="0" borderId="16" xfId="0" applyFont="1" applyBorder="1" applyAlignment="1">
      <alignment horizontal="centerContinuous" wrapText="1"/>
    </xf>
    <xf numFmtId="0" fontId="9" fillId="0" borderId="0" xfId="0" applyFont="1"/>
    <xf numFmtId="0" fontId="15" fillId="0" borderId="0" xfId="0" applyFont="1"/>
    <xf numFmtId="0" fontId="15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3" fillId="0" borderId="4" xfId="0" applyFont="1" applyBorder="1" applyAlignment="1">
      <alignment horizontal="left" vertical="center" wrapText="1"/>
    </xf>
    <xf numFmtId="0" fontId="17" fillId="0" borderId="0" xfId="0" applyFont="1" applyAlignment="1">
      <alignment horizontal="centerContinuous"/>
    </xf>
    <xf numFmtId="0" fontId="8" fillId="0" borderId="0" xfId="0" applyFont="1"/>
    <xf numFmtId="0" fontId="18" fillId="0" borderId="0" xfId="0" applyFont="1"/>
    <xf numFmtId="0" fontId="7" fillId="0" borderId="5" xfId="0" applyFont="1" applyBorder="1" applyAlignment="1">
      <alignment wrapText="1"/>
    </xf>
    <xf numFmtId="38" fontId="7" fillId="0" borderId="17" xfId="0" applyNumberFormat="1" applyFont="1" applyBorder="1" applyAlignment="1">
      <alignment wrapText="1"/>
    </xf>
    <xf numFmtId="38" fontId="16" fillId="0" borderId="17" xfId="0" applyNumberFormat="1" applyFont="1" applyBorder="1" applyAlignment="1">
      <alignment wrapText="1"/>
    </xf>
    <xf numFmtId="0" fontId="7" fillId="0" borderId="18" xfId="0" applyFont="1" applyBorder="1" applyAlignment="1">
      <alignment wrapText="1"/>
    </xf>
    <xf numFmtId="38" fontId="16" fillId="0" borderId="1" xfId="0" applyNumberFormat="1" applyFont="1" applyBorder="1" applyAlignment="1">
      <alignment wrapText="1"/>
    </xf>
    <xf numFmtId="0" fontId="7" fillId="0" borderId="17" xfId="0" applyFont="1" applyBorder="1" applyAlignment="1">
      <alignment wrapText="1"/>
    </xf>
    <xf numFmtId="3" fontId="7" fillId="0" borderId="5" xfId="0" applyNumberFormat="1" applyFont="1" applyBorder="1" applyAlignment="1">
      <alignment wrapText="1"/>
    </xf>
    <xf numFmtId="3" fontId="7" fillId="0" borderId="17" xfId="0" applyNumberFormat="1" applyFont="1" applyBorder="1" applyAlignment="1">
      <alignment wrapText="1"/>
    </xf>
    <xf numFmtId="3" fontId="7" fillId="0" borderId="18" xfId="0" applyNumberFormat="1" applyFont="1" applyBorder="1" applyAlignment="1">
      <alignment wrapText="1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wrapText="1"/>
    </xf>
    <xf numFmtId="0" fontId="4" fillId="0" borderId="0" xfId="0" applyFont="1" applyAlignment="1">
      <alignment horizontal="centerContinuous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0" xfId="0" applyFont="1"/>
    <xf numFmtId="0" fontId="20" fillId="0" borderId="0" xfId="4" applyFont="1"/>
    <xf numFmtId="2" fontId="20" fillId="0" borderId="0" xfId="4" applyNumberFormat="1" applyFont="1"/>
    <xf numFmtId="0" fontId="4" fillId="2" borderId="1" xfId="4" applyFont="1" applyFill="1" applyBorder="1" applyAlignment="1">
      <alignment horizontal="center" vertical="center" wrapText="1"/>
    </xf>
    <xf numFmtId="9" fontId="31" fillId="0" borderId="0" xfId="4" applyNumberFormat="1" applyFont="1"/>
    <xf numFmtId="0" fontId="31" fillId="0" borderId="22" xfId="4" applyFont="1" applyBorder="1"/>
    <xf numFmtId="0" fontId="4" fillId="0" borderId="23" xfId="4" applyFont="1" applyBorder="1" applyAlignment="1">
      <alignment horizontal="center" vertical="center" wrapText="1"/>
    </xf>
    <xf numFmtId="0" fontId="4" fillId="0" borderId="24" xfId="4" applyFont="1" applyBorder="1" applyAlignment="1">
      <alignment horizontal="center" vertical="center" wrapText="1"/>
    </xf>
    <xf numFmtId="0" fontId="31" fillId="0" borderId="9" xfId="4" applyFont="1" applyBorder="1" applyAlignment="1">
      <alignment horizontal="center" vertical="center"/>
    </xf>
    <xf numFmtId="0" fontId="31" fillId="0" borderId="25" xfId="4" applyFont="1" applyBorder="1" applyAlignment="1">
      <alignment wrapText="1"/>
    </xf>
    <xf numFmtId="3" fontId="31" fillId="0" borderId="5" xfId="4" applyNumberFormat="1" applyFont="1" applyBorder="1" applyAlignment="1">
      <alignment horizontal="right" vertical="center" wrapText="1"/>
    </xf>
    <xf numFmtId="3" fontId="31" fillId="0" borderId="21" xfId="6" applyNumberFormat="1" applyBorder="1" applyAlignment="1">
      <alignment vertical="center"/>
    </xf>
    <xf numFmtId="3" fontId="31" fillId="0" borderId="17" xfId="4" applyNumberFormat="1" applyFont="1" applyBorder="1" applyAlignment="1">
      <alignment horizontal="right" vertical="center" wrapText="1"/>
    </xf>
    <xf numFmtId="3" fontId="31" fillId="0" borderId="26" xfId="6" applyNumberFormat="1" applyBorder="1" applyAlignment="1">
      <alignment vertical="center"/>
    </xf>
    <xf numFmtId="3" fontId="31" fillId="0" borderId="0" xfId="4" applyNumberFormat="1" applyFont="1" applyAlignment="1">
      <alignment horizontal="right" vertical="center" wrapText="1"/>
    </xf>
    <xf numFmtId="0" fontId="31" fillId="0" borderId="27" xfId="4" applyFont="1" applyBorder="1"/>
    <xf numFmtId="0" fontId="4" fillId="0" borderId="28" xfId="4" applyFont="1" applyBorder="1"/>
    <xf numFmtId="3" fontId="23" fillId="0" borderId="11" xfId="4" applyNumberFormat="1" applyFont="1" applyBorder="1" applyAlignment="1">
      <alignment horizontal="right"/>
    </xf>
    <xf numFmtId="3" fontId="4" fillId="0" borderId="10" xfId="6" applyNumberFormat="1" applyFont="1" applyBorder="1" applyAlignment="1">
      <alignment vertical="center"/>
    </xf>
    <xf numFmtId="0" fontId="31" fillId="0" borderId="0" xfId="4" applyFont="1"/>
    <xf numFmtId="0" fontId="31" fillId="0" borderId="29" xfId="4" applyFont="1" applyBorder="1"/>
    <xf numFmtId="0" fontId="4" fillId="0" borderId="30" xfId="4" applyFont="1" applyBorder="1"/>
    <xf numFmtId="3" fontId="31" fillId="0" borderId="0" xfId="4" applyNumberFormat="1" applyFont="1"/>
    <xf numFmtId="0" fontId="4" fillId="0" borderId="31" xfId="4" applyFont="1" applyBorder="1" applyAlignment="1">
      <alignment vertical="center" wrapText="1"/>
    </xf>
    <xf numFmtId="3" fontId="4" fillId="0" borderId="7" xfId="4" applyNumberFormat="1" applyFont="1" applyBorder="1" applyAlignment="1">
      <alignment horizontal="center" vertical="center" wrapText="1"/>
    </xf>
    <xf numFmtId="3" fontId="31" fillId="0" borderId="1" xfId="4" applyNumberFormat="1" applyFont="1" applyBorder="1" applyAlignment="1">
      <alignment horizontal="right" vertical="center" wrapText="1"/>
    </xf>
    <xf numFmtId="3" fontId="31" fillId="0" borderId="10" xfId="6" applyNumberFormat="1" applyBorder="1" applyAlignment="1">
      <alignment vertical="center"/>
    </xf>
    <xf numFmtId="0" fontId="31" fillId="0" borderId="32" xfId="4" applyFont="1" applyBorder="1"/>
    <xf numFmtId="0" fontId="4" fillId="0" borderId="25" xfId="4" applyFont="1" applyBorder="1"/>
    <xf numFmtId="3" fontId="23" fillId="0" borderId="1" xfId="4" applyNumberFormat="1" applyFont="1" applyBorder="1" applyAlignment="1">
      <alignment horizontal="right"/>
    </xf>
    <xf numFmtId="10" fontId="31" fillId="0" borderId="0" xfId="4" applyNumberFormat="1" applyFont="1"/>
    <xf numFmtId="0" fontId="4" fillId="0" borderId="0" xfId="4" applyFont="1"/>
    <xf numFmtId="3" fontId="23" fillId="0" borderId="0" xfId="4" applyNumberFormat="1" applyFont="1" applyAlignment="1">
      <alignment horizontal="right"/>
    </xf>
    <xf numFmtId="3" fontId="4" fillId="0" borderId="0" xfId="6" applyNumberFormat="1" applyFont="1" applyAlignment="1">
      <alignment vertical="center"/>
    </xf>
    <xf numFmtId="0" fontId="4" fillId="0" borderId="33" xfId="4" applyFont="1" applyBorder="1"/>
    <xf numFmtId="3" fontId="23" fillId="0" borderId="7" xfId="4" applyNumberFormat="1" applyFont="1" applyBorder="1" applyAlignment="1">
      <alignment horizontal="center" wrapText="1"/>
    </xf>
    <xf numFmtId="3" fontId="4" fillId="0" borderId="8" xfId="6" applyNumberFormat="1" applyFont="1" applyBorder="1" applyAlignment="1">
      <alignment vertical="center"/>
    </xf>
    <xf numFmtId="0" fontId="31" fillId="0" borderId="9" xfId="4" applyFont="1" applyBorder="1"/>
    <xf numFmtId="0" fontId="31" fillId="0" borderId="16" xfId="4" applyFont="1" applyBorder="1"/>
    <xf numFmtId="3" fontId="4" fillId="0" borderId="21" xfId="6" applyNumberFormat="1" applyFont="1" applyBorder="1" applyAlignment="1">
      <alignment vertical="center"/>
    </xf>
    <xf numFmtId="3" fontId="4" fillId="0" borderId="26" xfId="6" applyNumberFormat="1" applyFont="1" applyBorder="1" applyAlignment="1">
      <alignment vertical="center"/>
    </xf>
    <xf numFmtId="0" fontId="31" fillId="0" borderId="20" xfId="4" applyFont="1" applyBorder="1"/>
    <xf numFmtId="0" fontId="23" fillId="0" borderId="34" xfId="4" applyFont="1" applyBorder="1"/>
    <xf numFmtId="3" fontId="4" fillId="0" borderId="35" xfId="6" applyNumberFormat="1" applyFont="1" applyBorder="1" applyAlignment="1">
      <alignment vertical="center"/>
    </xf>
    <xf numFmtId="0" fontId="31" fillId="0" borderId="36" xfId="4" applyFont="1" applyBorder="1"/>
    <xf numFmtId="0" fontId="4" fillId="0" borderId="33" xfId="4" applyFont="1" applyBorder="1" applyAlignment="1">
      <alignment horizontal="center" wrapText="1"/>
    </xf>
    <xf numFmtId="3" fontId="4" fillId="0" borderId="8" xfId="6" applyNumberFormat="1" applyFont="1" applyBorder="1" applyAlignment="1">
      <alignment horizontal="center" vertical="center" wrapText="1"/>
    </xf>
    <xf numFmtId="0" fontId="31" fillId="0" borderId="1" xfId="4" applyFont="1" applyBorder="1"/>
    <xf numFmtId="3" fontId="31" fillId="0" borderId="1" xfId="4" applyNumberFormat="1" applyFont="1" applyBorder="1" applyAlignment="1">
      <alignment horizontal="right"/>
    </xf>
    <xf numFmtId="3" fontId="4" fillId="0" borderId="13" xfId="6" applyNumberFormat="1" applyFont="1" applyBorder="1" applyAlignment="1">
      <alignment vertical="center"/>
    </xf>
    <xf numFmtId="3" fontId="31" fillId="0" borderId="18" xfId="4" applyNumberFormat="1" applyFont="1" applyBorder="1" applyAlignment="1">
      <alignment horizontal="right" vertical="center" wrapText="1"/>
    </xf>
    <xf numFmtId="3" fontId="31" fillId="0" borderId="35" xfId="6" applyNumberFormat="1" applyBorder="1" applyAlignment="1">
      <alignment vertical="center"/>
    </xf>
    <xf numFmtId="0" fontId="31" fillId="0" borderId="27" xfId="4" applyFont="1" applyBorder="1" applyAlignment="1">
      <alignment horizontal="centerContinuous" vertical="center"/>
    </xf>
    <xf numFmtId="0" fontId="4" fillId="0" borderId="37" xfId="4" applyFont="1" applyBorder="1" applyAlignment="1">
      <alignment horizontal="centerContinuous" vertical="center"/>
    </xf>
    <xf numFmtId="0" fontId="23" fillId="2" borderId="0" xfId="4" applyFont="1" applyFill="1"/>
    <xf numFmtId="0" fontId="31" fillId="2" borderId="0" xfId="4" applyFont="1" applyFill="1"/>
    <xf numFmtId="9" fontId="31" fillId="2" borderId="0" xfId="4" applyNumberFormat="1" applyFont="1" applyFill="1"/>
    <xf numFmtId="4" fontId="18" fillId="2" borderId="0" xfId="4" applyNumberFormat="1" applyFont="1" applyFill="1"/>
    <xf numFmtId="0" fontId="36" fillId="0" borderId="0" xfId="4" applyFont="1"/>
    <xf numFmtId="3" fontId="4" fillId="2" borderId="1" xfId="4" applyNumberFormat="1" applyFont="1" applyFill="1" applyBorder="1" applyAlignment="1">
      <alignment horizontal="right" vertical="center"/>
    </xf>
    <xf numFmtId="0" fontId="31" fillId="2" borderId="0" xfId="4" applyFont="1" applyFill="1" applyAlignment="1">
      <alignment horizontal="centerContinuous"/>
    </xf>
    <xf numFmtId="14" fontId="3" fillId="0" borderId="19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8" xfId="0" applyFont="1" applyBorder="1"/>
    <xf numFmtId="0" fontId="3" fillId="0" borderId="39" xfId="0" applyFont="1" applyBorder="1"/>
    <xf numFmtId="0" fontId="7" fillId="0" borderId="40" xfId="0" applyFont="1" applyBorder="1"/>
    <xf numFmtId="0" fontId="3" fillId="0" borderId="40" xfId="0" applyFont="1" applyBorder="1"/>
    <xf numFmtId="0" fontId="4" fillId="0" borderId="41" xfId="0" applyFont="1" applyBorder="1"/>
    <xf numFmtId="0" fontId="3" fillId="0" borderId="42" xfId="0" applyFont="1" applyBorder="1"/>
    <xf numFmtId="0" fontId="3" fillId="0" borderId="43" xfId="0" applyFont="1" applyBorder="1" applyAlignment="1">
      <alignment horizontal="right"/>
    </xf>
    <xf numFmtId="0" fontId="3" fillId="0" borderId="44" xfId="0" applyFont="1" applyBorder="1" applyAlignment="1">
      <alignment horizontal="right"/>
    </xf>
    <xf numFmtId="0" fontId="38" fillId="0" borderId="0" xfId="0" applyFont="1"/>
    <xf numFmtId="0" fontId="39" fillId="0" borderId="0" xfId="0" applyFont="1" applyAlignment="1">
      <alignment vertical="center"/>
    </xf>
    <xf numFmtId="0" fontId="3" fillId="0" borderId="4" xfId="0" applyFont="1" applyBorder="1" applyAlignment="1">
      <alignment wrapText="1"/>
    </xf>
    <xf numFmtId="38" fontId="5" fillId="0" borderId="45" xfId="0" applyNumberFormat="1" applyFont="1" applyBorder="1" applyAlignment="1">
      <alignment horizontal="centerContinuous"/>
    </xf>
    <xf numFmtId="0" fontId="20" fillId="0" borderId="4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20" fillId="0" borderId="48" xfId="0" applyFont="1" applyBorder="1" applyAlignment="1">
      <alignment horizontal="centerContinuous" vertical="center" wrapText="1"/>
    </xf>
    <xf numFmtId="0" fontId="20" fillId="0" borderId="43" xfId="0" applyFont="1" applyBorder="1" applyAlignment="1">
      <alignment horizontal="centerContinuous" vertical="center" wrapText="1"/>
    </xf>
    <xf numFmtId="0" fontId="3" fillId="0" borderId="49" xfId="0" applyFont="1" applyBorder="1" applyAlignment="1">
      <alignment horizontal="right"/>
    </xf>
    <xf numFmtId="38" fontId="24" fillId="0" borderId="1" xfId="7" applyNumberFormat="1" applyFont="1" applyBorder="1" applyAlignment="1">
      <alignment vertical="center"/>
    </xf>
    <xf numFmtId="0" fontId="8" fillId="0" borderId="2" xfId="0" applyFont="1" applyBorder="1"/>
    <xf numFmtId="38" fontId="3" fillId="0" borderId="0" xfId="0" applyNumberFormat="1" applyFont="1"/>
    <xf numFmtId="38" fontId="0" fillId="0" borderId="0" xfId="0" applyNumberFormat="1"/>
    <xf numFmtId="0" fontId="3" fillId="0" borderId="53" xfId="0" applyFont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8" fillId="3" borderId="19" xfId="0" applyFont="1" applyFill="1" applyBorder="1" applyAlignment="1">
      <alignment horizontal="right" vertical="center" wrapText="1"/>
    </xf>
    <xf numFmtId="38" fontId="42" fillId="0" borderId="1" xfId="7" applyNumberFormat="1" applyFont="1" applyBorder="1"/>
    <xf numFmtId="0" fontId="3" fillId="0" borderId="42" xfId="0" applyFont="1" applyBorder="1" applyAlignment="1">
      <alignment horizontal="center" wrapText="1"/>
    </xf>
    <xf numFmtId="0" fontId="3" fillId="0" borderId="48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8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3" fillId="0" borderId="54" xfId="0" applyFont="1" applyBorder="1" applyAlignment="1">
      <alignment horizontal="left" wrapText="1"/>
    </xf>
    <xf numFmtId="0" fontId="4" fillId="0" borderId="55" xfId="0" applyFont="1" applyBorder="1" applyAlignment="1">
      <alignment horizontal="centerContinuous"/>
    </xf>
    <xf numFmtId="0" fontId="4" fillId="0" borderId="56" xfId="0" applyFont="1" applyBorder="1" applyAlignment="1">
      <alignment horizontal="centerContinuous"/>
    </xf>
    <xf numFmtId="0" fontId="4" fillId="0" borderId="57" xfId="0" applyFont="1" applyBorder="1" applyAlignment="1">
      <alignment horizontal="centerContinuous"/>
    </xf>
    <xf numFmtId="0" fontId="22" fillId="0" borderId="48" xfId="0" applyFont="1" applyBorder="1" applyAlignment="1">
      <alignment horizontal="center" wrapText="1"/>
    </xf>
    <xf numFmtId="0" fontId="5" fillId="0" borderId="19" xfId="0" applyFont="1" applyBorder="1" applyAlignment="1">
      <alignment wrapText="1"/>
    </xf>
    <xf numFmtId="0" fontId="3" fillId="0" borderId="54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42" xfId="0" applyFont="1" applyBorder="1" applyAlignment="1">
      <alignment horizontal="center"/>
    </xf>
    <xf numFmtId="0" fontId="5" fillId="0" borderId="4" xfId="0" applyFont="1" applyBorder="1"/>
    <xf numFmtId="0" fontId="3" fillId="0" borderId="19" xfId="0" applyFont="1" applyBorder="1" applyAlignment="1">
      <alignment horizontal="right"/>
    </xf>
    <xf numFmtId="0" fontId="5" fillId="0" borderId="19" xfId="0" applyFont="1" applyBorder="1"/>
    <xf numFmtId="0" fontId="3" fillId="0" borderId="59" xfId="0" applyFont="1" applyBorder="1" applyAlignment="1">
      <alignment horizontal="right" wrapText="1"/>
    </xf>
    <xf numFmtId="0" fontId="3" fillId="0" borderId="59" xfId="0" applyFont="1" applyBorder="1" applyAlignment="1">
      <alignment horizontal="right"/>
    </xf>
    <xf numFmtId="0" fontId="17" fillId="0" borderId="60" xfId="0" applyFont="1" applyBorder="1"/>
    <xf numFmtId="0" fontId="3" fillId="0" borderId="54" xfId="0" applyFont="1" applyBorder="1"/>
    <xf numFmtId="38" fontId="30" fillId="0" borderId="1" xfId="7" applyNumberFormat="1" applyFont="1" applyBorder="1"/>
    <xf numFmtId="3" fontId="26" fillId="0" borderId="0" xfId="0" applyNumberFormat="1" applyFont="1"/>
    <xf numFmtId="38" fontId="26" fillId="0" borderId="0" xfId="0" applyNumberFormat="1" applyFont="1"/>
    <xf numFmtId="0" fontId="31" fillId="0" borderId="1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1" fillId="0" borderId="61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left" indent="2"/>
    </xf>
    <xf numFmtId="0" fontId="31" fillId="0" borderId="14" xfId="0" applyFont="1" applyBorder="1"/>
    <xf numFmtId="3" fontId="31" fillId="0" borderId="14" xfId="0" applyNumberFormat="1" applyFont="1" applyBorder="1"/>
    <xf numFmtId="3" fontId="31" fillId="0" borderId="15" xfId="0" applyNumberFormat="1" applyFont="1" applyBorder="1"/>
    <xf numFmtId="38" fontId="16" fillId="0" borderId="5" xfId="0" applyNumberFormat="1" applyFont="1" applyBorder="1" applyAlignment="1">
      <alignment wrapText="1"/>
    </xf>
    <xf numFmtId="0" fontId="3" fillId="0" borderId="62" xfId="0" applyFont="1" applyBorder="1" applyAlignment="1">
      <alignment wrapText="1"/>
    </xf>
    <xf numFmtId="0" fontId="7" fillId="0" borderId="61" xfId="0" applyFont="1" applyBorder="1" applyAlignment="1">
      <alignment wrapText="1"/>
    </xf>
    <xf numFmtId="38" fontId="19" fillId="0" borderId="1" xfId="0" applyNumberFormat="1" applyFont="1" applyBorder="1" applyAlignment="1">
      <alignment wrapText="1"/>
    </xf>
    <xf numFmtId="0" fontId="20" fillId="0" borderId="0" xfId="3" applyFont="1" applyAlignment="1">
      <alignment horizontal="center"/>
    </xf>
    <xf numFmtId="9" fontId="6" fillId="0" borderId="0" xfId="3" applyNumberFormat="1" applyFont="1"/>
    <xf numFmtId="9" fontId="3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31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31" fillId="0" borderId="2" xfId="0" applyFont="1" applyBorder="1"/>
    <xf numFmtId="3" fontId="31" fillId="0" borderId="49" xfId="0" applyNumberFormat="1" applyFont="1" applyBorder="1" applyAlignment="1">
      <alignment horizontal="right" vertical="center" wrapText="1"/>
    </xf>
    <xf numFmtId="0" fontId="31" fillId="0" borderId="46" xfId="0" applyFont="1" applyBorder="1"/>
    <xf numFmtId="0" fontId="4" fillId="0" borderId="17" xfId="0" applyFont="1" applyBorder="1" applyAlignment="1">
      <alignment horizontal="centerContinuous" vertical="center" wrapText="1"/>
    </xf>
    <xf numFmtId="0" fontId="4" fillId="0" borderId="50" xfId="0" applyFont="1" applyBorder="1" applyAlignment="1">
      <alignment horizontal="centerContinuous" vertical="center" wrapText="1"/>
    </xf>
    <xf numFmtId="0" fontId="31" fillId="0" borderId="62" xfId="0" applyFont="1" applyBorder="1"/>
    <xf numFmtId="3" fontId="31" fillId="0" borderId="65" xfId="0" applyNumberFormat="1" applyFont="1" applyBorder="1" applyAlignment="1">
      <alignment horizontal="right" vertical="center" wrapText="1"/>
    </xf>
    <xf numFmtId="0" fontId="22" fillId="0" borderId="66" xfId="0" applyFont="1" applyBorder="1" applyAlignment="1">
      <alignment horizontal="center"/>
    </xf>
    <xf numFmtId="0" fontId="31" fillId="0" borderId="0" xfId="0" applyFont="1" applyAlignment="1">
      <alignment horizontal="left" indent="2"/>
    </xf>
    <xf numFmtId="0" fontId="31" fillId="0" borderId="0" xfId="0" applyFont="1"/>
    <xf numFmtId="3" fontId="31" fillId="0" borderId="0" xfId="0" applyNumberFormat="1" applyFont="1"/>
    <xf numFmtId="0" fontId="31" fillId="0" borderId="0" xfId="0" applyFont="1" applyAlignment="1">
      <alignment horizontal="right"/>
    </xf>
    <xf numFmtId="3" fontId="31" fillId="0" borderId="0" xfId="4" applyNumberFormat="1" applyFont="1" applyAlignment="1">
      <alignment horizontal="right"/>
    </xf>
    <xf numFmtId="9" fontId="3" fillId="0" borderId="5" xfId="0" applyNumberFormat="1" applyFont="1" applyBorder="1" applyAlignment="1">
      <alignment horizontal="center" vertical="center" wrapText="1"/>
    </xf>
    <xf numFmtId="9" fontId="3" fillId="0" borderId="17" xfId="0" applyNumberFormat="1" applyFont="1" applyBorder="1" applyAlignment="1">
      <alignment horizontal="center" vertical="center" wrapText="1"/>
    </xf>
    <xf numFmtId="9" fontId="7" fillId="0" borderId="52" xfId="0" applyNumberFormat="1" applyFont="1" applyBorder="1" applyAlignment="1">
      <alignment horizontal="center" vertical="center" wrapText="1"/>
    </xf>
    <xf numFmtId="38" fontId="5" fillId="0" borderId="68" xfId="0" applyNumberFormat="1" applyFont="1" applyBorder="1" applyAlignment="1">
      <alignment horizontal="centerContinuous"/>
    </xf>
    <xf numFmtId="1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38" fontId="1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8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right"/>
    </xf>
    <xf numFmtId="0" fontId="20" fillId="4" borderId="1" xfId="0" applyFont="1" applyFill="1" applyBorder="1" applyAlignment="1">
      <alignment horizontal="center" vertical="center" wrapText="1"/>
    </xf>
    <xf numFmtId="10" fontId="3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1" fontId="2" fillId="2" borderId="1" xfId="4" applyNumberFormat="1" applyFont="1" applyFill="1" applyBorder="1" applyAlignment="1">
      <alignment horizontal="left" vertical="center" wrapText="1"/>
    </xf>
    <xf numFmtId="4" fontId="34" fillId="2" borderId="1" xfId="4" applyNumberFormat="1" applyFont="1" applyFill="1" applyBorder="1" applyAlignment="1">
      <alignment horizontal="center" vertical="center"/>
    </xf>
    <xf numFmtId="3" fontId="31" fillId="2" borderId="1" xfId="4" applyNumberFormat="1" applyFont="1" applyFill="1" applyBorder="1" applyAlignment="1">
      <alignment horizontal="right" vertical="center"/>
    </xf>
    <xf numFmtId="3" fontId="23" fillId="2" borderId="1" xfId="4" applyNumberFormat="1" applyFont="1" applyFill="1" applyBorder="1" applyAlignment="1">
      <alignment horizontal="right" vertical="center"/>
    </xf>
    <xf numFmtId="0" fontId="4" fillId="2" borderId="1" xfId="4" applyFont="1" applyFill="1" applyBorder="1" applyAlignment="1">
      <alignment horizontal="left" vertical="center" wrapText="1"/>
    </xf>
    <xf numFmtId="0" fontId="4" fillId="2" borderId="1" xfId="4" applyFont="1" applyFill="1" applyBorder="1" applyAlignment="1">
      <alignment vertical="center" wrapText="1"/>
    </xf>
    <xf numFmtId="1" fontId="31" fillId="2" borderId="1" xfId="4" applyNumberFormat="1" applyFont="1" applyFill="1" applyBorder="1" applyAlignment="1">
      <alignment horizontal="left" vertical="center" wrapText="1"/>
    </xf>
    <xf numFmtId="0" fontId="3" fillId="2" borderId="1" xfId="4" applyFont="1" applyFill="1" applyBorder="1" applyAlignment="1">
      <alignment horizontal="left" vertical="center" wrapText="1"/>
    </xf>
    <xf numFmtId="3" fontId="18" fillId="2" borderId="1" xfId="4" applyNumberFormat="1" applyFont="1" applyFill="1" applyBorder="1" applyAlignment="1">
      <alignment horizontal="right" vertical="center"/>
    </xf>
    <xf numFmtId="3" fontId="32" fillId="2" borderId="1" xfId="4" applyNumberFormat="1" applyFont="1" applyFill="1" applyBorder="1" applyAlignment="1">
      <alignment horizontal="right" vertical="center"/>
    </xf>
    <xf numFmtId="10" fontId="31" fillId="2" borderId="1" xfId="4" applyNumberFormat="1" applyFont="1" applyFill="1" applyBorder="1" applyAlignment="1">
      <alignment horizontal="right" vertical="center"/>
    </xf>
    <xf numFmtId="0" fontId="32" fillId="0" borderId="1" xfId="4" applyFont="1" applyBorder="1" applyAlignment="1">
      <alignment horizontal="center" vertical="center" wrapText="1"/>
    </xf>
    <xf numFmtId="9" fontId="31" fillId="2" borderId="1" xfId="4" applyNumberFormat="1" applyFont="1" applyFill="1" applyBorder="1" applyAlignment="1">
      <alignment horizontal="right" vertical="center"/>
    </xf>
    <xf numFmtId="1" fontId="26" fillId="0" borderId="1" xfId="0" applyNumberFormat="1" applyFont="1" applyBorder="1" applyAlignment="1">
      <alignment horizontal="left" wrapText="1"/>
    </xf>
    <xf numFmtId="38" fontId="26" fillId="0" borderId="1" xfId="7" applyNumberFormat="1" applyFont="1" applyBorder="1"/>
    <xf numFmtId="1" fontId="40" fillId="0" borderId="1" xfId="0" applyNumberFormat="1" applyFont="1" applyBorder="1" applyAlignment="1">
      <alignment horizontal="left" vertical="center" wrapText="1"/>
    </xf>
    <xf numFmtId="1" fontId="40" fillId="0" borderId="1" xfId="0" applyNumberFormat="1" applyFont="1" applyBorder="1" applyAlignment="1">
      <alignment horizontal="left" wrapText="1"/>
    </xf>
    <xf numFmtId="1" fontId="41" fillId="0" borderId="1" xfId="0" applyNumberFormat="1" applyFont="1" applyBorder="1" applyAlignment="1">
      <alignment horizontal="right" wrapText="1"/>
    </xf>
    <xf numFmtId="38" fontId="29" fillId="0" borderId="1" xfId="7" applyNumberFormat="1" applyFont="1" applyBorder="1" applyAlignment="1">
      <alignment horizontal="right"/>
    </xf>
    <xf numFmtId="38" fontId="29" fillId="0" borderId="1" xfId="7" applyNumberFormat="1" applyFont="1" applyBorder="1"/>
    <xf numFmtId="38" fontId="43" fillId="0" borderId="1" xfId="7" applyNumberFormat="1" applyFont="1" applyBorder="1"/>
    <xf numFmtId="1" fontId="24" fillId="0" borderId="1" xfId="0" applyNumberFormat="1" applyFont="1" applyBorder="1" applyAlignment="1">
      <alignment horizontal="left" vertical="center" wrapText="1"/>
    </xf>
    <xf numFmtId="38" fontId="30" fillId="0" borderId="1" xfId="7" applyNumberFormat="1" applyFont="1" applyBorder="1" applyAlignment="1">
      <alignment horizontal="right" vertical="center"/>
    </xf>
    <xf numFmtId="1" fontId="4" fillId="2" borderId="1" xfId="4" applyNumberFormat="1" applyFont="1" applyFill="1" applyBorder="1" applyAlignment="1">
      <alignment horizontal="left" vertical="center" wrapText="1"/>
    </xf>
    <xf numFmtId="3" fontId="31" fillId="0" borderId="30" xfId="4" applyNumberFormat="1" applyFont="1" applyBorder="1" applyAlignment="1">
      <alignment horizontal="center" vertical="center" wrapText="1"/>
    </xf>
    <xf numFmtId="0" fontId="4" fillId="0" borderId="31" xfId="4" applyFont="1" applyBorder="1" applyAlignment="1">
      <alignment horizontal="center" vertical="center" wrapText="1"/>
    </xf>
    <xf numFmtId="3" fontId="31" fillId="0" borderId="5" xfId="4" applyNumberFormat="1" applyFont="1" applyBorder="1" applyAlignment="1">
      <alignment horizontal="center" vertical="center" wrapText="1"/>
    </xf>
    <xf numFmtId="3" fontId="31" fillId="0" borderId="17" xfId="4" applyNumberFormat="1" applyFont="1" applyBorder="1" applyAlignment="1">
      <alignment horizontal="center" vertical="center" wrapText="1"/>
    </xf>
    <xf numFmtId="0" fontId="31" fillId="0" borderId="25" xfId="4" applyFont="1" applyBorder="1" applyAlignment="1">
      <alignment horizontal="center" vertical="center" wrapText="1"/>
    </xf>
    <xf numFmtId="3" fontId="4" fillId="2" borderId="1" xfId="4" applyNumberFormat="1" applyFont="1" applyFill="1" applyBorder="1" applyAlignment="1">
      <alignment horizontal="center" vertical="center" wrapText="1"/>
    </xf>
    <xf numFmtId="9" fontId="2" fillId="2" borderId="1" xfId="4" applyNumberFormat="1" applyFont="1" applyFill="1" applyBorder="1" applyAlignment="1">
      <alignment horizontal="center" vertical="center" wrapText="1"/>
    </xf>
    <xf numFmtId="14" fontId="4" fillId="0" borderId="0" xfId="4" applyNumberFormat="1" applyFont="1" applyAlignment="1">
      <alignment horizontal="center" vertical="center" wrapText="1"/>
    </xf>
    <xf numFmtId="0" fontId="31" fillId="0" borderId="22" xfId="4" applyFont="1" applyBorder="1" applyAlignment="1">
      <alignment horizontal="center" vertical="center" wrapText="1"/>
    </xf>
    <xf numFmtId="0" fontId="31" fillId="0" borderId="9" xfId="4" applyFont="1" applyBorder="1" applyAlignment="1">
      <alignment horizontal="center" vertical="center" wrapText="1"/>
    </xf>
    <xf numFmtId="3" fontId="31" fillId="0" borderId="21" xfId="6" applyNumberFormat="1" applyBorder="1" applyAlignment="1">
      <alignment horizontal="center" vertical="center" wrapText="1"/>
    </xf>
    <xf numFmtId="3" fontId="31" fillId="0" borderId="26" xfId="6" applyNumberFormat="1" applyBorder="1" applyAlignment="1">
      <alignment horizontal="center" vertical="center" wrapText="1"/>
    </xf>
    <xf numFmtId="0" fontId="31" fillId="0" borderId="27" xfId="4" applyFont="1" applyBorder="1" applyAlignment="1">
      <alignment horizontal="center" vertical="center" wrapText="1"/>
    </xf>
    <xf numFmtId="0" fontId="4" fillId="0" borderId="28" xfId="4" applyFont="1" applyBorder="1" applyAlignment="1">
      <alignment horizontal="center" vertical="center" wrapText="1"/>
    </xf>
    <xf numFmtId="3" fontId="23" fillId="0" borderId="11" xfId="4" applyNumberFormat="1" applyFont="1" applyBorder="1" applyAlignment="1">
      <alignment horizontal="center" vertical="center" wrapText="1"/>
    </xf>
    <xf numFmtId="3" fontId="4" fillId="0" borderId="10" xfId="6" applyNumberFormat="1" applyFont="1" applyBorder="1" applyAlignment="1">
      <alignment horizontal="center" vertical="center" wrapText="1"/>
    </xf>
    <xf numFmtId="0" fontId="31" fillId="0" borderId="72" xfId="4" applyFont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3" fontId="31" fillId="0" borderId="0" xfId="4" applyNumberFormat="1" applyFont="1" applyAlignment="1">
      <alignment horizontal="center" vertical="center" wrapText="1"/>
    </xf>
    <xf numFmtId="3" fontId="31" fillId="0" borderId="73" xfId="4" applyNumberFormat="1" applyFont="1" applyBorder="1" applyAlignment="1">
      <alignment horizontal="center" vertical="center" wrapText="1"/>
    </xf>
    <xf numFmtId="0" fontId="31" fillId="0" borderId="29" xfId="4" applyFont="1" applyBorder="1" applyAlignment="1">
      <alignment horizontal="center" vertical="center" wrapText="1"/>
    </xf>
    <xf numFmtId="0" fontId="4" fillId="0" borderId="30" xfId="4" applyFont="1" applyBorder="1" applyAlignment="1">
      <alignment horizontal="center" vertical="center" wrapText="1"/>
    </xf>
    <xf numFmtId="3" fontId="31" fillId="0" borderId="74" xfId="4" applyNumberFormat="1" applyFont="1" applyBorder="1" applyAlignment="1">
      <alignment horizontal="center" vertical="center" wrapText="1"/>
    </xf>
    <xf numFmtId="0" fontId="31" fillId="2" borderId="0" xfId="4" applyFont="1" applyFill="1" applyAlignment="1">
      <alignment horizontal="left" vertical="center" wrapText="1"/>
    </xf>
    <xf numFmtId="1" fontId="26" fillId="0" borderId="1" xfId="0" applyNumberFormat="1" applyFont="1" applyBorder="1" applyAlignment="1">
      <alignment horizontal="left" vertical="top" wrapText="1"/>
    </xf>
    <xf numFmtId="0" fontId="46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1" fontId="46" fillId="0" borderId="1" xfId="0" applyNumberFormat="1" applyFont="1" applyBorder="1" applyAlignment="1">
      <alignment horizontal="left" wrapText="1"/>
    </xf>
    <xf numFmtId="0" fontId="2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5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8" fillId="0" borderId="0" xfId="0" applyFont="1" applyAlignment="1">
      <alignment horizontal="left"/>
    </xf>
    <xf numFmtId="0" fontId="20" fillId="0" borderId="0" xfId="0" applyFont="1"/>
    <xf numFmtId="0" fontId="49" fillId="0" borderId="0" xfId="0" applyFont="1"/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Continuous" vertical="center"/>
    </xf>
    <xf numFmtId="0" fontId="20" fillId="0" borderId="1" xfId="0" applyFont="1" applyBorder="1" applyAlignment="1">
      <alignment horizontal="centerContinuous" vertical="center"/>
    </xf>
    <xf numFmtId="1" fontId="20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/>
    <xf numFmtId="1" fontId="5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Continuous" vertical="center" wrapText="1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vertical="center" wrapText="1"/>
    </xf>
    <xf numFmtId="0" fontId="52" fillId="0" borderId="0" xfId="0" applyFont="1" applyAlignment="1">
      <alignment horizontal="right"/>
    </xf>
    <xf numFmtId="0" fontId="5" fillId="0" borderId="1" xfId="4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 wrapText="1"/>
    </xf>
    <xf numFmtId="0" fontId="13" fillId="0" borderId="0" xfId="4" applyFont="1"/>
    <xf numFmtId="0" fontId="31" fillId="2" borderId="1" xfId="4" applyFont="1" applyFill="1" applyBorder="1" applyAlignment="1">
      <alignment horizontal="left" vertical="center" wrapText="1"/>
    </xf>
    <xf numFmtId="0" fontId="31" fillId="2" borderId="1" xfId="4" applyFont="1" applyFill="1" applyBorder="1" applyAlignment="1">
      <alignment horizontal="center" vertical="center" wrapText="1"/>
    </xf>
    <xf numFmtId="3" fontId="2" fillId="2" borderId="1" xfId="4" applyNumberFormat="1" applyFont="1" applyFill="1" applyBorder="1" applyAlignment="1">
      <alignment horizontal="center" vertical="center" wrapText="1"/>
    </xf>
    <xf numFmtId="9" fontId="4" fillId="2" borderId="1" xfId="4" applyNumberFormat="1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18" fillId="0" borderId="0" xfId="4" applyFont="1" applyAlignment="1">
      <alignment horizontal="center" vertical="center" wrapText="1"/>
    </xf>
    <xf numFmtId="0" fontId="20" fillId="0" borderId="1" xfId="3" applyFont="1" applyBorder="1" applyAlignment="1">
      <alignment wrapText="1"/>
    </xf>
    <xf numFmtId="9" fontId="22" fillId="0" borderId="48" xfId="0" applyNumberFormat="1" applyFont="1" applyBorder="1" applyAlignment="1">
      <alignment horizontal="center" wrapText="1"/>
    </xf>
    <xf numFmtId="0" fontId="20" fillId="4" borderId="0" xfId="0" applyFont="1" applyFill="1" applyAlignment="1">
      <alignment horizontal="center" vertical="center" wrapText="1"/>
    </xf>
    <xf numFmtId="0" fontId="53" fillId="0" borderId="0" xfId="0" applyFont="1" applyAlignment="1">
      <alignment horizontal="left" vertical="center"/>
    </xf>
    <xf numFmtId="0" fontId="21" fillId="5" borderId="0" xfId="0" applyFont="1" applyFill="1" applyAlignment="1">
      <alignment horizontal="left" vertical="center"/>
    </xf>
    <xf numFmtId="0" fontId="2" fillId="0" borderId="0" xfId="0" applyFont="1"/>
    <xf numFmtId="0" fontId="5" fillId="2" borderId="0" xfId="4" applyFont="1" applyFill="1" applyAlignment="1">
      <alignment horizontal="centerContinuous"/>
    </xf>
    <xf numFmtId="4" fontId="49" fillId="2" borderId="0" xfId="4" applyNumberFormat="1" applyFont="1" applyFill="1" applyAlignment="1">
      <alignment horizontal="right"/>
    </xf>
    <xf numFmtId="9" fontId="3" fillId="0" borderId="2" xfId="5" applyFont="1" applyBorder="1" applyAlignment="1">
      <alignment horizontal="center"/>
    </xf>
    <xf numFmtId="9" fontId="21" fillId="5" borderId="0" xfId="5" applyFont="1" applyFill="1" applyAlignment="1">
      <alignment horizontal="left" vertical="center"/>
    </xf>
    <xf numFmtId="2" fontId="21" fillId="5" borderId="0" xfId="0" applyNumberFormat="1" applyFont="1" applyFill="1" applyAlignment="1">
      <alignment horizontal="left" vertical="center"/>
    </xf>
    <xf numFmtId="2" fontId="31" fillId="0" borderId="1" xfId="4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0" fontId="5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64" fontId="31" fillId="2" borderId="1" xfId="4" applyNumberFormat="1" applyFont="1" applyFill="1" applyBorder="1" applyAlignment="1">
      <alignment horizontal="right" vertical="center"/>
    </xf>
    <xf numFmtId="165" fontId="23" fillId="2" borderId="1" xfId="4" applyNumberFormat="1" applyFont="1" applyFill="1" applyBorder="1" applyAlignment="1">
      <alignment horizontal="center" vertical="center"/>
    </xf>
    <xf numFmtId="165" fontId="35" fillId="2" borderId="1" xfId="4" applyNumberFormat="1" applyFont="1" applyFill="1" applyBorder="1" applyAlignment="1">
      <alignment horizontal="center" vertical="center"/>
    </xf>
    <xf numFmtId="166" fontId="27" fillId="0" borderId="1" xfId="7" applyFont="1" applyBorder="1" applyAlignment="1">
      <alignment horizontal="right"/>
    </xf>
    <xf numFmtId="164" fontId="33" fillId="0" borderId="1" xfId="4" applyNumberFormat="1" applyFont="1" applyBorder="1" applyAlignment="1">
      <alignment horizontal="right" vertical="center"/>
    </xf>
    <xf numFmtId="167" fontId="4" fillId="0" borderId="1" xfId="4" applyNumberFormat="1" applyFont="1" applyBorder="1" applyAlignment="1">
      <alignment horizontal="right" vertical="center"/>
    </xf>
    <xf numFmtId="167" fontId="4" fillId="2" borderId="1" xfId="4" applyNumberFormat="1" applyFont="1" applyFill="1" applyBorder="1" applyAlignment="1">
      <alignment horizontal="right" vertical="center"/>
    </xf>
    <xf numFmtId="167" fontId="31" fillId="0" borderId="0" xfId="4" applyNumberFormat="1" applyFont="1" applyAlignment="1">
      <alignment horizontal="right"/>
    </xf>
    <xf numFmtId="164" fontId="4" fillId="0" borderId="1" xfId="4" applyNumberFormat="1" applyFont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168" fontId="4" fillId="2" borderId="1" xfId="4" applyNumberFormat="1" applyFont="1" applyFill="1" applyBorder="1" applyAlignment="1">
      <alignment horizontal="center" vertical="center" wrapText="1"/>
    </xf>
    <xf numFmtId="169" fontId="31" fillId="0" borderId="0" xfId="4" applyNumberFormat="1" applyFont="1" applyAlignment="1">
      <alignment horizontal="center" vertical="center" wrapText="1"/>
    </xf>
    <xf numFmtId="170" fontId="31" fillId="0" borderId="5" xfId="4" applyNumberFormat="1" applyFont="1" applyBorder="1" applyAlignment="1">
      <alignment horizontal="right"/>
    </xf>
    <xf numFmtId="170" fontId="31" fillId="0" borderId="17" xfId="4" applyNumberFormat="1" applyFont="1" applyBorder="1" applyAlignment="1">
      <alignment horizontal="right"/>
    </xf>
    <xf numFmtId="170" fontId="31" fillId="0" borderId="18" xfId="4" applyNumberFormat="1" applyFont="1" applyBorder="1" applyAlignment="1">
      <alignment horizontal="right"/>
    </xf>
    <xf numFmtId="170" fontId="23" fillId="0" borderId="11" xfId="4" applyNumberFormat="1" applyFont="1" applyBorder="1" applyAlignment="1">
      <alignment horizontal="right"/>
    </xf>
    <xf numFmtId="169" fontId="31" fillId="0" borderId="0" xfId="6" applyNumberFormat="1" applyAlignment="1">
      <alignment vertical="center"/>
    </xf>
    <xf numFmtId="166" fontId="7" fillId="0" borderId="0" xfId="0" applyNumberFormat="1" applyFont="1" applyAlignment="1">
      <alignment horizontal="center"/>
    </xf>
    <xf numFmtId="166" fontId="26" fillId="0" borderId="0" xfId="7" applyFont="1"/>
    <xf numFmtId="166" fontId="28" fillId="0" borderId="0" xfId="7" applyFont="1"/>
    <xf numFmtId="171" fontId="0" fillId="0" borderId="0" xfId="6" applyFont="1"/>
    <xf numFmtId="169" fontId="0" fillId="0" borderId="0" xfId="6" applyNumberFormat="1" applyFont="1"/>
    <xf numFmtId="171" fontId="0" fillId="0" borderId="0" xfId="0" applyNumberFormat="1"/>
    <xf numFmtId="172" fontId="0" fillId="0" borderId="0" xfId="6" applyNumberFormat="1" applyFont="1"/>
    <xf numFmtId="173" fontId="50" fillId="0" borderId="1" xfId="0" applyNumberFormat="1" applyFont="1" applyBorder="1" applyAlignment="1">
      <alignment horizontal="center" vertical="center" wrapText="1"/>
    </xf>
    <xf numFmtId="164" fontId="50" fillId="0" borderId="1" xfId="0" applyNumberFormat="1" applyFont="1" applyBorder="1" applyAlignment="1">
      <alignment horizontal="center" vertical="center" wrapText="1"/>
    </xf>
    <xf numFmtId="173" fontId="37" fillId="0" borderId="1" xfId="0" applyNumberFormat="1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center" vertical="center" wrapText="1"/>
    </xf>
    <xf numFmtId="173" fontId="51" fillId="0" borderId="1" xfId="0" applyNumberFormat="1" applyFont="1" applyBorder="1" applyAlignment="1">
      <alignment horizontal="center" vertical="center" wrapText="1"/>
    </xf>
    <xf numFmtId="170" fontId="3" fillId="0" borderId="1" xfId="0" applyNumberFormat="1" applyFont="1" applyBorder="1" applyAlignment="1">
      <alignment horizontal="center" vertical="center" wrapText="1"/>
    </xf>
    <xf numFmtId="170" fontId="5" fillId="0" borderId="1" xfId="0" applyNumberFormat="1" applyFont="1" applyBorder="1" applyAlignment="1">
      <alignment horizontal="center" vertical="center" wrapText="1"/>
    </xf>
    <xf numFmtId="170" fontId="3" fillId="0" borderId="1" xfId="0" applyNumberFormat="1" applyFont="1" applyBorder="1" applyAlignment="1">
      <alignment vertical="center"/>
    </xf>
    <xf numFmtId="170" fontId="5" fillId="0" borderId="1" xfId="0" applyNumberFormat="1" applyFont="1" applyBorder="1" applyAlignment="1">
      <alignment vertical="center"/>
    </xf>
    <xf numFmtId="174" fontId="3" fillId="0" borderId="1" xfId="0" applyNumberFormat="1" applyFont="1" applyBorder="1" applyAlignment="1">
      <alignment horizontal="right" vertical="center" wrapText="1"/>
    </xf>
    <xf numFmtId="175" fontId="3" fillId="0" borderId="1" xfId="0" applyNumberFormat="1" applyFont="1" applyBorder="1" applyAlignment="1">
      <alignment horizontal="center" vertical="center" wrapText="1"/>
    </xf>
    <xf numFmtId="174" fontId="3" fillId="0" borderId="67" xfId="0" applyNumberFormat="1" applyFont="1" applyBorder="1" applyAlignment="1">
      <alignment horizontal="right" vertical="center" wrapText="1"/>
    </xf>
    <xf numFmtId="173" fontId="3" fillId="0" borderId="1" xfId="0" applyNumberFormat="1" applyFont="1" applyBorder="1" applyAlignment="1">
      <alignment horizontal="center" vertical="center" wrapText="1"/>
    </xf>
    <xf numFmtId="174" fontId="3" fillId="0" borderId="17" xfId="0" applyNumberFormat="1" applyFont="1" applyBorder="1" applyAlignment="1">
      <alignment horizontal="right" vertical="center" wrapText="1"/>
    </xf>
    <xf numFmtId="173" fontId="3" fillId="0" borderId="17" xfId="0" applyNumberFormat="1" applyFont="1" applyBorder="1" applyAlignment="1">
      <alignment horizontal="center" vertical="center" wrapText="1"/>
    </xf>
    <xf numFmtId="174" fontId="3" fillId="0" borderId="64" xfId="0" applyNumberFormat="1" applyFont="1" applyBorder="1" applyAlignment="1">
      <alignment horizontal="right" vertical="center" wrapText="1"/>
    </xf>
    <xf numFmtId="174" fontId="5" fillId="0" borderId="15" xfId="0" applyNumberFormat="1" applyFont="1" applyBorder="1"/>
    <xf numFmtId="171" fontId="2" fillId="0" borderId="1" xfId="6" applyFont="1" applyBorder="1" applyAlignment="1">
      <alignment horizontal="center" vertical="center"/>
    </xf>
    <xf numFmtId="171" fontId="31" fillId="0" borderId="1" xfId="6" applyBorder="1" applyAlignment="1">
      <alignment horizontal="center" vertical="center"/>
    </xf>
    <xf numFmtId="176" fontId="31" fillId="0" borderId="1" xfId="6" applyNumberForma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77" fontId="3" fillId="0" borderId="0" xfId="0" applyNumberFormat="1" applyFont="1"/>
    <xf numFmtId="166" fontId="3" fillId="0" borderId="0" xfId="0" applyNumberFormat="1" applyFont="1"/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Continuous" wrapText="1"/>
    </xf>
    <xf numFmtId="166" fontId="3" fillId="0" borderId="0" xfId="0" applyNumberFormat="1" applyFont="1" applyAlignment="1">
      <alignment horizontal="centerContinuous"/>
    </xf>
    <xf numFmtId="166" fontId="7" fillId="0" borderId="1" xfId="0" applyNumberFormat="1" applyFont="1" applyBorder="1"/>
    <xf numFmtId="171" fontId="3" fillId="0" borderId="0" xfId="6" applyFont="1"/>
    <xf numFmtId="171" fontId="3" fillId="0" borderId="0" xfId="0" applyNumberFormat="1" applyFont="1"/>
    <xf numFmtId="170" fontId="3" fillId="0" borderId="0" xfId="0" applyNumberFormat="1" applyFont="1" applyAlignment="1">
      <alignment horizontal="centerContinuous"/>
    </xf>
    <xf numFmtId="170" fontId="3" fillId="0" borderId="42" xfId="0" applyNumberFormat="1" applyFont="1" applyBorder="1"/>
    <xf numFmtId="170" fontId="3" fillId="0" borderId="42" xfId="0" applyNumberFormat="1" applyFont="1" applyBorder="1" applyAlignment="1">
      <alignment horizontal="center"/>
    </xf>
    <xf numFmtId="170" fontId="8" fillId="0" borderId="2" xfId="0" applyNumberFormat="1" applyFont="1" applyBorder="1"/>
    <xf numFmtId="170" fontId="8" fillId="0" borderId="2" xfId="0" applyNumberFormat="1" applyFont="1" applyBorder="1" applyAlignment="1">
      <alignment horizontal="center"/>
    </xf>
    <xf numFmtId="170" fontId="3" fillId="0" borderId="2" xfId="0" applyNumberFormat="1" applyFont="1" applyBorder="1"/>
    <xf numFmtId="170" fontId="3" fillId="0" borderId="2" xfId="0" applyNumberFormat="1" applyFont="1" applyBorder="1" applyAlignment="1">
      <alignment horizontal="center"/>
    </xf>
    <xf numFmtId="164" fontId="3" fillId="0" borderId="2" xfId="6" applyNumberFormat="1" applyFont="1" applyBorder="1" applyAlignment="1">
      <alignment horizontal="center"/>
    </xf>
    <xf numFmtId="170" fontId="3" fillId="0" borderId="3" xfId="0" applyNumberFormat="1" applyFont="1" applyBorder="1"/>
    <xf numFmtId="170" fontId="3" fillId="0" borderId="3" xfId="0" applyNumberFormat="1" applyFont="1" applyBorder="1" applyAlignment="1">
      <alignment horizontal="center"/>
    </xf>
    <xf numFmtId="174" fontId="3" fillId="0" borderId="0" xfId="0" applyNumberFormat="1" applyFont="1"/>
    <xf numFmtId="170" fontId="20" fillId="4" borderId="1" xfId="0" applyNumberFormat="1" applyFont="1" applyFill="1" applyBorder="1" applyAlignment="1">
      <alignment horizontal="center" vertical="center" wrapText="1"/>
    </xf>
    <xf numFmtId="178" fontId="20" fillId="4" borderId="1" xfId="0" applyNumberFormat="1" applyFont="1" applyFill="1" applyBorder="1" applyAlignment="1">
      <alignment horizontal="center" vertical="center" wrapText="1"/>
    </xf>
    <xf numFmtId="170" fontId="7" fillId="0" borderId="1" xfId="0" applyNumberFormat="1" applyFont="1" applyBorder="1" applyAlignment="1">
      <alignment horizontal="center" vertical="center" wrapText="1"/>
    </xf>
    <xf numFmtId="174" fontId="7" fillId="0" borderId="1" xfId="0" applyNumberFormat="1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78" fontId="16" fillId="0" borderId="1" xfId="0" applyNumberFormat="1" applyFont="1" applyBorder="1" applyAlignment="1">
      <alignment horizontal="center" vertical="center" wrapText="1"/>
    </xf>
    <xf numFmtId="174" fontId="16" fillId="0" borderId="1" xfId="0" applyNumberFormat="1" applyFont="1" applyBorder="1" applyAlignment="1">
      <alignment horizontal="center" vertical="center" wrapText="1"/>
    </xf>
    <xf numFmtId="178" fontId="16" fillId="0" borderId="0" xfId="0" applyNumberFormat="1" applyFont="1" applyAlignment="1">
      <alignment horizontal="center" vertical="center" wrapText="1"/>
    </xf>
    <xf numFmtId="178" fontId="5" fillId="0" borderId="0" xfId="0" applyNumberFormat="1" applyFont="1"/>
    <xf numFmtId="164" fontId="3" fillId="0" borderId="1" xfId="0" applyNumberFormat="1" applyFont="1" applyBorder="1"/>
    <xf numFmtId="169" fontId="7" fillId="0" borderId="5" xfId="6" applyNumberFormat="1" applyFont="1" applyBorder="1"/>
    <xf numFmtId="169" fontId="7" fillId="0" borderId="34" xfId="6" applyNumberFormat="1" applyFont="1" applyBorder="1"/>
    <xf numFmtId="164" fontId="3" fillId="0" borderId="1" xfId="0" applyNumberFormat="1" applyFont="1" applyBorder="1" applyAlignment="1">
      <alignment horizontal="center" vertical="center"/>
    </xf>
    <xf numFmtId="169" fontId="7" fillId="0" borderId="17" xfId="6" applyNumberFormat="1" applyFont="1" applyBorder="1" applyAlignment="1">
      <alignment horizontal="center" vertical="center"/>
    </xf>
    <xf numFmtId="169" fontId="7" fillId="0" borderId="52" xfId="6" applyNumberFormat="1" applyFont="1" applyBorder="1" applyAlignment="1">
      <alignment horizontal="center" vertical="center"/>
    </xf>
    <xf numFmtId="169" fontId="3" fillId="0" borderId="17" xfId="6" applyNumberFormat="1" applyFont="1" applyBorder="1" applyAlignment="1">
      <alignment horizontal="center" vertical="center"/>
    </xf>
    <xf numFmtId="169" fontId="16" fillId="0" borderId="17" xfId="6" applyNumberFormat="1" applyFont="1" applyBorder="1" applyAlignment="1">
      <alignment horizontal="center" vertical="center"/>
    </xf>
    <xf numFmtId="169" fontId="16" fillId="0" borderId="52" xfId="6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69" fontId="7" fillId="0" borderId="17" xfId="6" applyNumberFormat="1" applyFont="1" applyBorder="1"/>
    <xf numFmtId="169" fontId="7" fillId="0" borderId="52" xfId="6" applyNumberFormat="1" applyFont="1" applyBorder="1"/>
    <xf numFmtId="170" fontId="34" fillId="0" borderId="58" xfId="0" applyNumberFormat="1" applyFont="1" applyBorder="1"/>
    <xf numFmtId="170" fontId="34" fillId="0" borderId="63" xfId="0" applyNumberFormat="1" applyFont="1" applyBorder="1"/>
    <xf numFmtId="164" fontId="3" fillId="0" borderId="44" xfId="0" applyNumberFormat="1" applyFont="1" applyBorder="1"/>
    <xf numFmtId="174" fontId="3" fillId="0" borderId="15" xfId="0" applyNumberFormat="1" applyFont="1" applyBorder="1"/>
    <xf numFmtId="174" fontId="7" fillId="0" borderId="5" xfId="0" applyNumberFormat="1" applyFont="1" applyBorder="1" applyAlignment="1">
      <alignment horizontal="center" vertical="center" wrapText="1"/>
    </xf>
    <xf numFmtId="174" fontId="7" fillId="0" borderId="67" xfId="0" applyNumberFormat="1" applyFont="1" applyBorder="1" applyAlignment="1">
      <alignment horizontal="center" vertical="center" wrapText="1"/>
    </xf>
    <xf numFmtId="174" fontId="7" fillId="0" borderId="52" xfId="0" applyNumberFormat="1" applyFont="1" applyBorder="1" applyAlignment="1">
      <alignment horizontal="center" vertical="center" wrapText="1"/>
    </xf>
    <xf numFmtId="174" fontId="7" fillId="0" borderId="50" xfId="0" applyNumberFormat="1" applyFont="1" applyBorder="1" applyAlignment="1">
      <alignment horizontal="center" vertical="center" wrapText="1"/>
    </xf>
    <xf numFmtId="174" fontId="7" fillId="0" borderId="17" xfId="0" applyNumberFormat="1" applyFont="1" applyBorder="1" applyAlignment="1">
      <alignment horizontal="center" vertical="center" wrapText="1"/>
    </xf>
    <xf numFmtId="174" fontId="7" fillId="0" borderId="51" xfId="0" applyNumberFormat="1" applyFont="1" applyBorder="1" applyAlignment="1">
      <alignment horizontal="center" vertical="center" wrapText="1"/>
    </xf>
    <xf numFmtId="174" fontId="16" fillId="0" borderId="14" xfId="0" applyNumberFormat="1" applyFont="1" applyBorder="1" applyAlignment="1">
      <alignment horizontal="center" vertical="center" wrapText="1"/>
    </xf>
    <xf numFmtId="174" fontId="16" fillId="0" borderId="15" xfId="0" applyNumberFormat="1" applyFont="1" applyBorder="1" applyAlignment="1">
      <alignment horizontal="center" vertical="center" wrapText="1"/>
    </xf>
    <xf numFmtId="174" fontId="3" fillId="0" borderId="6" xfId="0" applyNumberFormat="1" applyFont="1" applyBorder="1"/>
    <xf numFmtId="174" fontId="3" fillId="0" borderId="7" xfId="0" applyNumberFormat="1" applyFont="1" applyBorder="1"/>
    <xf numFmtId="174" fontId="3" fillId="0" borderId="8" xfId="0" applyNumberFormat="1" applyFont="1" applyBorder="1"/>
    <xf numFmtId="174" fontId="3" fillId="0" borderId="9" xfId="0" applyNumberFormat="1" applyFont="1" applyBorder="1"/>
    <xf numFmtId="174" fontId="3" fillId="0" borderId="1" xfId="0" applyNumberFormat="1" applyFont="1" applyBorder="1"/>
    <xf numFmtId="174" fontId="3" fillId="0" borderId="10" xfId="0" applyNumberFormat="1" applyFont="1" applyBorder="1"/>
    <xf numFmtId="173" fontId="7" fillId="0" borderId="5" xfId="0" applyNumberFormat="1" applyFont="1" applyBorder="1" applyAlignment="1">
      <alignment vertical="center" wrapText="1"/>
    </xf>
    <xf numFmtId="173" fontId="7" fillId="0" borderId="5" xfId="0" applyNumberFormat="1" applyFont="1" applyBorder="1" applyAlignment="1">
      <alignment horizontal="center" vertical="center" wrapText="1"/>
    </xf>
    <xf numFmtId="173" fontId="7" fillId="0" borderId="17" xfId="0" applyNumberFormat="1" applyFont="1" applyBorder="1" applyAlignment="1">
      <alignment vertical="center" wrapText="1"/>
    </xf>
    <xf numFmtId="173" fontId="7" fillId="0" borderId="17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164" fontId="7" fillId="0" borderId="52" xfId="0" applyNumberFormat="1" applyFont="1" applyBorder="1" applyAlignment="1">
      <alignment horizontal="center" vertical="center" wrapText="1"/>
    </xf>
    <xf numFmtId="174" fontId="3" fillId="0" borderId="20" xfId="0" applyNumberFormat="1" applyFont="1" applyBorder="1"/>
    <xf numFmtId="174" fontId="3" fillId="0" borderId="5" xfId="0" applyNumberFormat="1" applyFont="1" applyBorder="1"/>
    <xf numFmtId="174" fontId="3" fillId="0" borderId="21" xfId="0" applyNumberFormat="1" applyFont="1" applyBorder="1"/>
    <xf numFmtId="173" fontId="16" fillId="0" borderId="5" xfId="0" applyNumberFormat="1" applyFont="1" applyBorder="1" applyAlignment="1">
      <alignment vertical="center" wrapText="1"/>
    </xf>
    <xf numFmtId="173" fontId="16" fillId="0" borderId="5" xfId="0" applyNumberFormat="1" applyFont="1" applyBorder="1" applyAlignment="1">
      <alignment horizontal="center" vertical="center" wrapText="1"/>
    </xf>
    <xf numFmtId="164" fontId="16" fillId="0" borderId="5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74" fontId="5" fillId="0" borderId="20" xfId="0" applyNumberFormat="1" applyFont="1" applyBorder="1"/>
    <xf numFmtId="174" fontId="5" fillId="0" borderId="5" xfId="0" applyNumberFormat="1" applyFont="1" applyBorder="1"/>
    <xf numFmtId="174" fontId="5" fillId="0" borderId="21" xfId="0" applyNumberFormat="1" applyFont="1" applyBorder="1"/>
    <xf numFmtId="174" fontId="4" fillId="0" borderId="12" xfId="0" applyNumberFormat="1" applyFont="1" applyBorder="1"/>
    <xf numFmtId="174" fontId="3" fillId="0" borderId="11" xfId="0" applyNumberFormat="1" applyFont="1" applyBorder="1"/>
    <xf numFmtId="174" fontId="7" fillId="0" borderId="13" xfId="0" applyNumberFormat="1" applyFont="1" applyBorder="1"/>
    <xf numFmtId="164" fontId="5" fillId="0" borderId="46" xfId="0" applyNumberFormat="1" applyFont="1" applyBorder="1" applyAlignment="1">
      <alignment horizontal="centerContinuous"/>
    </xf>
    <xf numFmtId="164" fontId="5" fillId="0" borderId="47" xfId="0" applyNumberFormat="1" applyFont="1" applyBorder="1" applyAlignment="1">
      <alignment horizontal="centerContinuous"/>
    </xf>
    <xf numFmtId="166" fontId="7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70" fontId="3" fillId="0" borderId="19" xfId="0" applyNumberFormat="1" applyFont="1" applyBorder="1" applyAlignment="1">
      <alignment wrapText="1"/>
    </xf>
    <xf numFmtId="170" fontId="7" fillId="0" borderId="17" xfId="0" applyNumberFormat="1" applyFont="1" applyBorder="1" applyAlignment="1">
      <alignment wrapText="1"/>
    </xf>
    <xf numFmtId="170" fontId="3" fillId="0" borderId="4" xfId="0" applyNumberFormat="1" applyFont="1" applyBorder="1" applyAlignment="1">
      <alignment wrapText="1"/>
    </xf>
    <xf numFmtId="170" fontId="7" fillId="0" borderId="5" xfId="0" applyNumberFormat="1" applyFont="1" applyBorder="1" applyAlignment="1">
      <alignment wrapText="1"/>
    </xf>
    <xf numFmtId="0" fontId="54" fillId="0" borderId="0" xfId="0" applyFont="1"/>
    <xf numFmtId="38" fontId="26" fillId="0" borderId="1" xfId="7" applyNumberFormat="1" applyFont="1" applyBorder="1" applyAlignment="1">
      <alignment horizontal="center"/>
    </xf>
    <xf numFmtId="38" fontId="24" fillId="0" borderId="1" xfId="7" applyNumberFormat="1" applyFont="1" applyBorder="1" applyAlignment="1">
      <alignment horizontal="center" vertical="center"/>
    </xf>
    <xf numFmtId="38" fontId="42" fillId="0" borderId="1" xfId="7" applyNumberFormat="1" applyFont="1" applyBorder="1" applyAlignment="1">
      <alignment horizontal="center"/>
    </xf>
    <xf numFmtId="38" fontId="29" fillId="0" borderId="1" xfId="7" applyNumberFormat="1" applyFont="1" applyBorder="1" applyAlignment="1">
      <alignment horizontal="center"/>
    </xf>
    <xf numFmtId="38" fontId="30" fillId="0" borderId="1" xfId="7" applyNumberFormat="1" applyFont="1" applyBorder="1" applyAlignment="1">
      <alignment horizontal="center"/>
    </xf>
    <xf numFmtId="38" fontId="43" fillId="0" borderId="1" xfId="7" applyNumberFormat="1" applyFont="1" applyBorder="1" applyAlignment="1">
      <alignment horizontal="center"/>
    </xf>
    <xf numFmtId="38" fontId="30" fillId="0" borderId="1" xfId="7" applyNumberFormat="1" applyFont="1" applyBorder="1" applyAlignment="1">
      <alignment horizontal="center" vertical="center"/>
    </xf>
    <xf numFmtId="0" fontId="20" fillId="0" borderId="1" xfId="3" applyFont="1" applyBorder="1"/>
    <xf numFmtId="38" fontId="56" fillId="0" borderId="5" xfId="0" applyNumberFormat="1" applyFont="1" applyBorder="1"/>
    <xf numFmtId="38" fontId="57" fillId="0" borderId="17" xfId="0" applyNumberFormat="1" applyFont="1" applyBorder="1"/>
    <xf numFmtId="38" fontId="56" fillId="0" borderId="17" xfId="0" applyNumberFormat="1" applyFont="1" applyBorder="1"/>
    <xf numFmtId="38" fontId="57" fillId="0" borderId="17" xfId="0" applyNumberFormat="1" applyFont="1" applyBorder="1" applyAlignment="1">
      <alignment horizontal="right"/>
    </xf>
    <xf numFmtId="38" fontId="56" fillId="0" borderId="25" xfId="0" applyNumberFormat="1" applyFont="1" applyBorder="1"/>
    <xf numFmtId="38" fontId="56" fillId="0" borderId="16" xfId="0" applyNumberFormat="1" applyFont="1" applyBorder="1"/>
    <xf numFmtId="9" fontId="57" fillId="0" borderId="18" xfId="0" applyNumberFormat="1" applyFont="1" applyBorder="1" applyAlignment="1">
      <alignment horizontal="center"/>
    </xf>
    <xf numFmtId="9" fontId="57" fillId="0" borderId="14" xfId="0" applyNumberFormat="1" applyFont="1" applyBorder="1" applyAlignment="1">
      <alignment horizontal="center"/>
    </xf>
    <xf numFmtId="38" fontId="22" fillId="0" borderId="17" xfId="0" applyNumberFormat="1" applyFont="1" applyBorder="1" applyAlignment="1">
      <alignment wrapText="1"/>
    </xf>
    <xf numFmtId="38" fontId="22" fillId="0" borderId="50" xfId="0" applyNumberFormat="1" applyFont="1" applyBorder="1" applyAlignment="1">
      <alignment wrapText="1"/>
    </xf>
    <xf numFmtId="38" fontId="55" fillId="0" borderId="17" xfId="0" applyNumberFormat="1" applyFont="1" applyBorder="1" applyAlignment="1">
      <alignment wrapText="1"/>
    </xf>
    <xf numFmtId="38" fontId="22" fillId="0" borderId="18" xfId="0" applyNumberFormat="1" applyFont="1" applyBorder="1" applyAlignment="1">
      <alignment horizontal="right" wrapText="1"/>
    </xf>
    <xf numFmtId="38" fontId="55" fillId="0" borderId="1" xfId="0" applyNumberFormat="1" applyFont="1" applyBorder="1" applyAlignment="1">
      <alignment horizontal="right" wrapText="1"/>
    </xf>
    <xf numFmtId="38" fontId="22" fillId="0" borderId="5" xfId="0" applyNumberFormat="1" applyFont="1" applyBorder="1" applyAlignment="1">
      <alignment wrapText="1"/>
    </xf>
    <xf numFmtId="38" fontId="22" fillId="0" borderId="17" xfId="0" applyNumberFormat="1" applyFont="1" applyBorder="1" applyAlignment="1">
      <alignment horizontal="right" wrapText="1"/>
    </xf>
    <xf numFmtId="38" fontId="22" fillId="0" borderId="18" xfId="0" applyNumberFormat="1" applyFont="1" applyBorder="1" applyAlignment="1">
      <alignment wrapText="1"/>
    </xf>
    <xf numFmtId="38" fontId="22" fillId="0" borderId="70" xfId="0" applyNumberFormat="1" applyFont="1" applyBorder="1" applyAlignment="1">
      <alignment wrapText="1"/>
    </xf>
    <xf numFmtId="38" fontId="22" fillId="0" borderId="50" xfId="0" applyNumberFormat="1" applyFont="1" applyBorder="1" applyAlignment="1">
      <alignment horizontal="right" wrapText="1"/>
    </xf>
    <xf numFmtId="38" fontId="55" fillId="0" borderId="5" xfId="0" applyNumberFormat="1" applyFont="1" applyBorder="1" applyAlignment="1">
      <alignment horizontal="right" wrapText="1"/>
    </xf>
    <xf numFmtId="38" fontId="55" fillId="0" borderId="70" xfId="0" applyNumberFormat="1" applyFont="1" applyBorder="1" applyAlignment="1">
      <alignment horizontal="right" wrapText="1"/>
    </xf>
    <xf numFmtId="38" fontId="55" fillId="0" borderId="17" xfId="0" applyNumberFormat="1" applyFont="1" applyBorder="1" applyAlignment="1">
      <alignment horizontal="right" wrapText="1"/>
    </xf>
    <xf numFmtId="38" fontId="22" fillId="0" borderId="71" xfId="0" applyNumberFormat="1" applyFont="1" applyBorder="1" applyAlignment="1">
      <alignment wrapText="1"/>
    </xf>
    <xf numFmtId="38" fontId="55" fillId="0" borderId="69" xfId="0" applyNumberFormat="1" applyFont="1" applyBorder="1" applyAlignment="1">
      <alignment horizontal="right" wrapText="1"/>
    </xf>
    <xf numFmtId="38" fontId="58" fillId="0" borderId="1" xfId="0" applyNumberFormat="1" applyFont="1" applyBorder="1" applyAlignment="1">
      <alignment horizontal="right" wrapText="1"/>
    </xf>
    <xf numFmtId="40" fontId="22" fillId="0" borderId="61" xfId="0" applyNumberFormat="1" applyFont="1" applyBorder="1" applyAlignment="1">
      <alignment wrapText="1"/>
    </xf>
    <xf numFmtId="0" fontId="20" fillId="0" borderId="1" xfId="3" applyFont="1" applyBorder="1" applyAlignment="1">
      <alignment horizontal="center" vertical="center" wrapText="1"/>
    </xf>
    <xf numFmtId="4" fontId="20" fillId="0" borderId="1" xfId="3" applyNumberFormat="1" applyFont="1" applyBorder="1" applyAlignment="1">
      <alignment horizontal="center" vertical="center" wrapText="1"/>
    </xf>
    <xf numFmtId="3" fontId="20" fillId="0" borderId="1" xfId="3" applyNumberFormat="1" applyFont="1" applyBorder="1" applyAlignment="1">
      <alignment horizontal="center" vertical="center" wrapText="1"/>
    </xf>
    <xf numFmtId="2" fontId="20" fillId="0" borderId="1" xfId="3" applyNumberFormat="1" applyFont="1" applyBorder="1" applyAlignment="1">
      <alignment horizontal="center" vertical="center" wrapText="1"/>
    </xf>
    <xf numFmtId="10" fontId="20" fillId="0" borderId="1" xfId="3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9" fontId="21" fillId="0" borderId="0" xfId="5" applyFont="1" applyAlignment="1">
      <alignment horizontal="left" vertical="center"/>
    </xf>
    <xf numFmtId="0" fontId="21" fillId="0" borderId="0" xfId="0" applyFont="1"/>
    <xf numFmtId="0" fontId="20" fillId="0" borderId="0" xfId="3" applyFont="1"/>
    <xf numFmtId="0" fontId="21" fillId="0" borderId="0" xfId="0" applyFont="1" applyAlignment="1">
      <alignment horizontal="left" vertical="center"/>
    </xf>
    <xf numFmtId="179" fontId="20" fillId="0" borderId="1" xfId="3" applyNumberFormat="1" applyFont="1" applyBorder="1" applyAlignment="1">
      <alignment horizontal="center" vertical="center" wrapText="1"/>
    </xf>
    <xf numFmtId="0" fontId="12" fillId="0" borderId="0" xfId="4"/>
    <xf numFmtId="0" fontId="5" fillId="0" borderId="1" xfId="0" applyFont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170" fontId="3" fillId="0" borderId="0" xfId="0" applyNumberFormat="1" applyFont="1"/>
    <xf numFmtId="0" fontId="3" fillId="0" borderId="0" xfId="0" applyFont="1"/>
    <xf numFmtId="178" fontId="3" fillId="0" borderId="0" xfId="0" applyNumberFormat="1" applyFont="1"/>
    <xf numFmtId="0" fontId="0" fillId="0" borderId="0" xfId="0"/>
    <xf numFmtId="0" fontId="20" fillId="0" borderId="48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6" fillId="0" borderId="0" xfId="3" applyFont="1"/>
    <xf numFmtId="0" fontId="6" fillId="0" borderId="0" xfId="3" applyFont="1" applyAlignment="1">
      <alignment horizontal="center"/>
    </xf>
    <xf numFmtId="8" fontId="6" fillId="0" borderId="0" xfId="3" applyNumberFormat="1" applyFont="1"/>
    <xf numFmtId="0" fontId="5" fillId="2" borderId="0" xfId="4" applyFont="1" applyFill="1" applyAlignment="1">
      <alignment horizontal="center" vertical="center" wrapText="1"/>
    </xf>
    <xf numFmtId="0" fontId="12" fillId="0" borderId="0" xfId="4"/>
    <xf numFmtId="0" fontId="5" fillId="0" borderId="1" xfId="0" applyFont="1" applyBorder="1" applyAlignment="1">
      <alignment horizontal="center" vertical="center" wrapText="1"/>
    </xf>
    <xf numFmtId="0" fontId="0" fillId="0" borderId="25" xfId="0" applyBorder="1"/>
    <xf numFmtId="0" fontId="0" fillId="0" borderId="16" xfId="0" applyBorder="1"/>
    <xf numFmtId="0" fontId="38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170" fontId="3" fillId="0" borderId="0" xfId="0" applyNumberFormat="1" applyFont="1"/>
    <xf numFmtId="0" fontId="3" fillId="0" borderId="0" xfId="0" applyFont="1"/>
    <xf numFmtId="178" fontId="3" fillId="0" borderId="0" xfId="0" applyNumberFormat="1" applyFont="1"/>
    <xf numFmtId="0" fontId="5" fillId="0" borderId="2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/>
    </xf>
    <xf numFmtId="0" fontId="0" fillId="0" borderId="0" xfId="0"/>
    <xf numFmtId="0" fontId="0" fillId="0" borderId="39" xfId="0" applyBorder="1"/>
    <xf numFmtId="0" fontId="8" fillId="0" borderId="39" xfId="0" applyFont="1" applyBorder="1" applyAlignment="1">
      <alignment horizontal="right"/>
    </xf>
    <xf numFmtId="0" fontId="20" fillId="0" borderId="48" xfId="0" applyFont="1" applyBorder="1" applyAlignment="1">
      <alignment horizontal="center" vertical="center" wrapText="1"/>
    </xf>
    <xf numFmtId="0" fontId="0" fillId="0" borderId="18" xfId="0" applyBorder="1"/>
    <xf numFmtId="0" fontId="20" fillId="0" borderId="42" xfId="0" applyFont="1" applyBorder="1" applyAlignment="1">
      <alignment horizontal="center" vertical="center" wrapText="1"/>
    </xf>
    <xf numFmtId="0" fontId="0" fillId="0" borderId="54" xfId="0" applyBorder="1"/>
    <xf numFmtId="0" fontId="17" fillId="0" borderId="39" xfId="0" applyFont="1" applyBorder="1" applyAlignment="1">
      <alignment horizontal="center"/>
    </xf>
    <xf numFmtId="0" fontId="48" fillId="0" borderId="0" xfId="3" applyFont="1" applyAlignment="1">
      <alignment horizontal="center" vertical="center"/>
    </xf>
    <xf numFmtId="0" fontId="6" fillId="0" borderId="0" xfId="3" applyFont="1"/>
    <xf numFmtId="0" fontId="6" fillId="0" borderId="0" xfId="3" applyFont="1" applyAlignment="1">
      <alignment horizontal="center"/>
    </xf>
  </cellXfs>
  <cellStyles count="8">
    <cellStyle name="Normal 2" xfId="1"/>
    <cellStyle name="Обычный" xfId="0" builtinId="0"/>
    <cellStyle name="Обычный 2" xfId="2"/>
    <cellStyle name="Обычный_вариант 2" xfId="3"/>
    <cellStyle name="Обычный_Копия ItalSpum" xfId="4"/>
    <cellStyle name="Процентный" xfId="5" builtinId="5"/>
    <cellStyle name="Финансовый" xfId="6" builtinId="3"/>
    <cellStyle name="Финансовый [0]" xfId="7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ProfLoss!$B$17</c:f>
              <c:strCache>
                <c:ptCount val="1"/>
                <c:pt idx="0">
                  <c:v>Sof daromad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ProfLoss!$C$17:$I$17</c:f>
              <c:numCache>
                <c:formatCode>#,##0_);[Red]\(#,##0\)</c:formatCode>
                <c:ptCount val="7"/>
                <c:pt idx="0">
                  <c:v>335852549684.28571</c:v>
                </c:pt>
                <c:pt idx="1">
                  <c:v>360262219332.14282</c:v>
                </c:pt>
                <c:pt idx="2">
                  <c:v>384672788980</c:v>
                </c:pt>
                <c:pt idx="3">
                  <c:v>409085908627.85712</c:v>
                </c:pt>
                <c:pt idx="4">
                  <c:v>433498503275.71429</c:v>
                </c:pt>
                <c:pt idx="5">
                  <c:v>457912447923.57141</c:v>
                </c:pt>
                <c:pt idx="6">
                  <c:v>482325717571.42859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  <a:prstDash val="solid"/>
              </a:ln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</a:ln>
            </c:spPr>
          </c:downBars>
        </c:upDownBars>
        <c:marker val="1"/>
        <c:smooth val="0"/>
        <c:axId val="131465728"/>
        <c:axId val="189594944"/>
      </c:lineChart>
      <c:catAx>
        <c:axId val="131465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594944"/>
        <c:crosses val="autoZero"/>
        <c:auto val="1"/>
        <c:lblAlgn val="ctr"/>
        <c:lblOffset val="100"/>
        <c:noMultiLvlLbl val="0"/>
      </c:catAx>
      <c:valAx>
        <c:axId val="189594944"/>
        <c:scaling>
          <c:orientation val="minMax"/>
        </c:scaling>
        <c:delete val="0"/>
        <c:axPos val="l"/>
        <c:numFmt formatCode="#,##0_);[Red]\(#,##0\)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465728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4</xdr:row>
      <xdr:rowOff>28575</xdr:rowOff>
    </xdr:from>
    <xdr:to>
      <xdr:col>16</xdr:col>
      <xdr:colOff>171450</xdr:colOff>
      <xdr:row>13</xdr:row>
      <xdr:rowOff>285750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1040;&#1088;&#1093;&#1080;&#1074;\&#1054;&#1089;&#1085;&#1086;&#1074;&#1072;\&#1050;&#1086;&#1087;&#1080;&#1103;%20ItalSpu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179;&#1091;&#1105;&#1096;%20&#1087;&#1072;&#1085;&#1077;&#1083;%2060%20&#1086;&#1081;%2024%20&#1092;&#1086;&#1080;&#107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вестиционный период"/>
      <sheetName val="Финансовый план"/>
      <sheetName val="Амортизация"/>
      <sheetName val="План производства"/>
      <sheetName val="Программа продаж"/>
      <sheetName val="Стоимость материалов"/>
      <sheetName val="Заработная плата"/>
      <sheetName val="Налоги"/>
      <sheetName val="Средства инженерного обеспечени"/>
      <sheetName val="Оценка издержек производства"/>
      <sheetName val="График погашения"/>
      <sheetName val="Схема погашения кредита"/>
      <sheetName val="Годовые издер-ки на продан.прод"/>
      <sheetName val="Потребность в оборотном капитал"/>
      <sheetName val="Отчет о чистом доходе от операц"/>
      <sheetName val="Месячный поток"/>
      <sheetName val="Поток реальных денег"/>
      <sheetName val="Проек. балансовый отчет"/>
      <sheetName val="Дисконтированный поток денег"/>
      <sheetName val="Точка безубыточности"/>
      <sheetName val="Анализ чувствительности"/>
      <sheetName val="Лист1"/>
      <sheetName val="Расчет залога"/>
      <sheetName val="Расчет залога2"/>
      <sheetName val="Анализ"/>
      <sheetName val="Мусо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Cost"/>
      <sheetName val="FinPlan"/>
      <sheetName val="Share of Costs"/>
      <sheetName val="Depreciate"/>
      <sheetName val="Labour"/>
      <sheetName val="ProdPlan"/>
      <sheetName val="Loans"/>
      <sheetName val="Taxes"/>
      <sheetName val="Loans 2"/>
      <sheetName val="CostTotal"/>
      <sheetName val="CostSold"/>
      <sheetName val="ProfLoss"/>
      <sheetName val="CashFlow"/>
      <sheetName val="npv"/>
    </sheetNames>
    <sheetDataSet>
      <sheetData sheetId="0">
        <row r="13">
          <cell r="F13">
            <v>408000000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D3" t="str">
            <v>60 oy</v>
          </cell>
        </row>
      </sheetData>
      <sheetData sheetId="7"/>
      <sheetData sheetId="8"/>
      <sheetData sheetId="9"/>
      <sheetData sheetId="10"/>
      <sheetData sheetId="11"/>
      <sheetData sheetId="12">
        <row r="14">
          <cell r="D14">
            <v>243262530</v>
          </cell>
          <cell r="E14">
            <v>253234584</v>
          </cell>
          <cell r="F14">
            <v>259882620</v>
          </cell>
          <cell r="G14">
            <v>276502710</v>
          </cell>
          <cell r="H14">
            <v>293122800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D97"/>
  <sheetViews>
    <sheetView tabSelected="1" topLeftCell="A19" zoomScale="130" zoomScaleNormal="130" workbookViewId="0">
      <selection activeCell="B86" sqref="B86"/>
    </sheetView>
  </sheetViews>
  <sheetFormatPr defaultRowHeight="15.75" x14ac:dyDescent="0.25"/>
  <cols>
    <col min="1" max="1" width="11" style="513" customWidth="1"/>
    <col min="2" max="2" width="70.75" style="513" customWidth="1"/>
    <col min="3" max="3" width="14.25" style="513" customWidth="1"/>
  </cols>
  <sheetData>
    <row r="15" spans="1:4" x14ac:dyDescent="0.25">
      <c r="A15" s="503"/>
      <c r="B15" s="462" t="s">
        <v>0</v>
      </c>
      <c r="C15" s="503"/>
      <c r="D15" s="503"/>
    </row>
    <row r="16" spans="1:4" x14ac:dyDescent="0.25">
      <c r="A16" s="503"/>
      <c r="B16" s="313" t="s">
        <v>1</v>
      </c>
      <c r="C16" s="503"/>
      <c r="D16" s="503"/>
    </row>
    <row r="17" spans="1:4" x14ac:dyDescent="0.25">
      <c r="A17" s="503"/>
      <c r="B17" s="462" t="s">
        <v>2</v>
      </c>
      <c r="C17" s="503"/>
      <c r="D17" s="503"/>
    </row>
    <row r="18" spans="1:4" x14ac:dyDescent="0.25">
      <c r="A18" s="503"/>
      <c r="B18" s="313" t="s">
        <v>459</v>
      </c>
      <c r="C18" s="503"/>
      <c r="D18" s="503"/>
    </row>
    <row r="19" spans="1:4" x14ac:dyDescent="0.25">
      <c r="A19" s="312"/>
      <c r="B19" s="462" t="s">
        <v>4</v>
      </c>
      <c r="C19" s="503"/>
      <c r="D19" s="503"/>
    </row>
    <row r="20" spans="1:4" x14ac:dyDescent="0.25">
      <c r="A20" s="503"/>
      <c r="B20" s="313" t="s">
        <v>5</v>
      </c>
      <c r="C20" s="503"/>
      <c r="D20" s="503"/>
    </row>
    <row r="21" spans="1:4" x14ac:dyDescent="0.25">
      <c r="A21" s="503"/>
      <c r="B21" s="462" t="s">
        <v>6</v>
      </c>
      <c r="C21" s="503"/>
      <c r="D21" s="503"/>
    </row>
    <row r="22" spans="1:4" x14ac:dyDescent="0.25">
      <c r="A22" s="503"/>
      <c r="B22" s="313" t="s">
        <v>7</v>
      </c>
      <c r="C22" s="503"/>
      <c r="D22" s="503"/>
    </row>
    <row r="23" spans="1:4" x14ac:dyDescent="0.25">
      <c r="A23" s="503"/>
      <c r="B23" s="462" t="s">
        <v>8</v>
      </c>
      <c r="C23" s="503"/>
      <c r="D23" s="503"/>
    </row>
    <row r="24" spans="1:4" x14ac:dyDescent="0.25">
      <c r="A24" s="503"/>
      <c r="B24" s="313" t="s">
        <v>9</v>
      </c>
      <c r="C24" s="503"/>
      <c r="D24" s="503"/>
    </row>
    <row r="25" spans="1:4" x14ac:dyDescent="0.25">
      <c r="A25" s="503"/>
      <c r="B25" s="462" t="s">
        <v>10</v>
      </c>
      <c r="C25" s="503"/>
      <c r="D25" s="503"/>
    </row>
    <row r="26" spans="1:4" x14ac:dyDescent="0.25">
      <c r="A26" s="503"/>
      <c r="B26" s="313" t="s">
        <v>11</v>
      </c>
      <c r="C26" s="503"/>
      <c r="D26" s="503"/>
    </row>
    <row r="27" spans="1:4" x14ac:dyDescent="0.25">
      <c r="A27" s="312"/>
      <c r="B27" s="462" t="s">
        <v>12</v>
      </c>
      <c r="C27" s="503"/>
      <c r="D27" s="503"/>
    </row>
    <row r="28" spans="1:4" x14ac:dyDescent="0.25">
      <c r="A28" s="314"/>
      <c r="B28" s="313" t="s">
        <v>13</v>
      </c>
    </row>
    <row r="29" spans="1:4" x14ac:dyDescent="0.25">
      <c r="A29" s="314"/>
      <c r="B29" s="505" t="s">
        <v>14</v>
      </c>
    </row>
    <row r="30" spans="1:4" x14ac:dyDescent="0.25">
      <c r="A30" s="314"/>
      <c r="B30" s="313" t="s">
        <v>15</v>
      </c>
    </row>
    <row r="31" spans="1:4" x14ac:dyDescent="0.25">
      <c r="A31" s="314"/>
      <c r="B31" s="462" t="s">
        <v>16</v>
      </c>
    </row>
    <row r="32" spans="1:4" x14ac:dyDescent="0.25">
      <c r="A32" s="314"/>
      <c r="B32" s="313" t="s">
        <v>17</v>
      </c>
    </row>
    <row r="33" spans="1:2" x14ac:dyDescent="0.25">
      <c r="A33" s="314"/>
      <c r="B33" s="462" t="s">
        <v>18</v>
      </c>
    </row>
    <row r="34" spans="1:2" x14ac:dyDescent="0.25">
      <c r="A34" s="314"/>
      <c r="B34" s="313" t="s">
        <v>19</v>
      </c>
    </row>
    <row r="35" spans="1:2" x14ac:dyDescent="0.25">
      <c r="A35" s="312"/>
      <c r="B35" s="462" t="s">
        <v>20</v>
      </c>
    </row>
    <row r="36" spans="1:2" x14ac:dyDescent="0.25">
      <c r="A36" s="314"/>
      <c r="B36" s="313" t="s">
        <v>21</v>
      </c>
    </row>
    <row r="37" spans="1:2" x14ac:dyDescent="0.25">
      <c r="A37" s="314"/>
      <c r="B37" s="462" t="s">
        <v>22</v>
      </c>
    </row>
    <row r="38" spans="1:2" x14ac:dyDescent="0.25">
      <c r="A38" s="314"/>
      <c r="B38" s="313" t="s">
        <v>23</v>
      </c>
    </row>
    <row r="39" spans="1:2" x14ac:dyDescent="0.25">
      <c r="A39" s="314"/>
      <c r="B39" s="503"/>
    </row>
    <row r="40" spans="1:2" x14ac:dyDescent="0.25">
      <c r="A40" s="314"/>
      <c r="B40" s="505"/>
    </row>
    <row r="41" spans="1:2" x14ac:dyDescent="0.25">
      <c r="A41" s="314"/>
      <c r="B41" s="505" t="s">
        <v>24</v>
      </c>
    </row>
    <row r="42" spans="1:2" x14ac:dyDescent="0.25">
      <c r="A42" s="314"/>
      <c r="B42" s="319" t="s">
        <v>25</v>
      </c>
    </row>
    <row r="43" spans="1:2" x14ac:dyDescent="0.25">
      <c r="A43" s="314"/>
      <c r="B43" s="503" t="s">
        <v>26</v>
      </c>
    </row>
    <row r="44" spans="1:2" x14ac:dyDescent="0.25">
      <c r="A44" s="314"/>
      <c r="B44" s="319" t="s">
        <v>27</v>
      </c>
    </row>
    <row r="45" spans="1:2" x14ac:dyDescent="0.25">
      <c r="A45" s="314"/>
      <c r="B45" s="503" t="s">
        <v>28</v>
      </c>
    </row>
    <row r="46" spans="1:2" x14ac:dyDescent="0.25">
      <c r="A46" s="314"/>
      <c r="B46" s="313" t="s">
        <v>29</v>
      </c>
    </row>
    <row r="47" spans="1:2" x14ac:dyDescent="0.25">
      <c r="A47" s="314"/>
      <c r="B47" s="503" t="s">
        <v>30</v>
      </c>
    </row>
    <row r="48" spans="1:2" x14ac:dyDescent="0.25">
      <c r="A48" s="314"/>
      <c r="B48" s="313" t="s">
        <v>31</v>
      </c>
    </row>
    <row r="49" spans="1:2" x14ac:dyDescent="0.25">
      <c r="A49" s="314"/>
      <c r="B49" s="503" t="s">
        <v>32</v>
      </c>
    </row>
    <row r="50" spans="1:2" x14ac:dyDescent="0.25">
      <c r="A50" s="314"/>
      <c r="B50" s="318" t="s">
        <v>33</v>
      </c>
    </row>
    <row r="51" spans="1:2" x14ac:dyDescent="0.25">
      <c r="A51" s="314"/>
      <c r="B51" s="502"/>
    </row>
    <row r="52" spans="1:2" x14ac:dyDescent="0.25">
      <c r="A52" s="314"/>
      <c r="B52" s="502"/>
    </row>
    <row r="53" spans="1:2" x14ac:dyDescent="0.25">
      <c r="A53" s="314"/>
      <c r="B53" s="502"/>
    </row>
    <row r="54" spans="1:2" x14ac:dyDescent="0.25">
      <c r="A54" s="314"/>
      <c r="B54" s="314"/>
    </row>
    <row r="55" spans="1:2" x14ac:dyDescent="0.25">
      <c r="B55" s="503" t="s">
        <v>34</v>
      </c>
    </row>
    <row r="56" spans="1:2" x14ac:dyDescent="0.25">
      <c r="B56" s="313"/>
    </row>
    <row r="57" spans="1:2" x14ac:dyDescent="0.25">
      <c r="B57" s="503" t="s">
        <v>35</v>
      </c>
    </row>
    <row r="58" spans="1:2" x14ac:dyDescent="0.25">
      <c r="B58" s="313" t="s">
        <v>36</v>
      </c>
    </row>
    <row r="59" spans="1:2" x14ac:dyDescent="0.25">
      <c r="B59" s="503" t="s">
        <v>37</v>
      </c>
    </row>
    <row r="60" spans="1:2" x14ac:dyDescent="0.25">
      <c r="B60" s="313" t="s">
        <v>38</v>
      </c>
    </row>
    <row r="61" spans="1:2" x14ac:dyDescent="0.25">
      <c r="B61" s="503" t="s">
        <v>39</v>
      </c>
    </row>
    <row r="62" spans="1:2" x14ac:dyDescent="0.25">
      <c r="B62" s="313" t="s">
        <v>40</v>
      </c>
    </row>
    <row r="63" spans="1:2" x14ac:dyDescent="0.25">
      <c r="B63" s="505"/>
    </row>
    <row r="64" spans="1:2" x14ac:dyDescent="0.25">
      <c r="B64" s="503" t="s">
        <v>41</v>
      </c>
    </row>
    <row r="65" spans="1:2" x14ac:dyDescent="0.25">
      <c r="B65" s="313" t="s">
        <v>42</v>
      </c>
    </row>
    <row r="66" spans="1:2" x14ac:dyDescent="0.25">
      <c r="B66" s="503" t="s">
        <v>43</v>
      </c>
    </row>
    <row r="67" spans="1:2" x14ac:dyDescent="0.25">
      <c r="B67" s="313" t="s">
        <v>44</v>
      </c>
    </row>
    <row r="68" spans="1:2" x14ac:dyDescent="0.25">
      <c r="B68" s="503" t="s">
        <v>45</v>
      </c>
    </row>
    <row r="69" spans="1:2" x14ac:dyDescent="0.25">
      <c r="B69" s="313" t="s">
        <v>46</v>
      </c>
    </row>
    <row r="71" spans="1:2" x14ac:dyDescent="0.25">
      <c r="B71" s="503" t="s">
        <v>47</v>
      </c>
    </row>
    <row r="72" spans="1:2" x14ac:dyDescent="0.25">
      <c r="B72" s="313" t="s">
        <v>48</v>
      </c>
    </row>
    <row r="73" spans="1:2" x14ac:dyDescent="0.25">
      <c r="B73" s="503" t="s">
        <v>49</v>
      </c>
    </row>
    <row r="74" spans="1:2" x14ac:dyDescent="0.25">
      <c r="B74" s="313" t="s">
        <v>50</v>
      </c>
    </row>
    <row r="75" spans="1:2" x14ac:dyDescent="0.25">
      <c r="B75" s="503" t="s">
        <v>51</v>
      </c>
    </row>
    <row r="76" spans="1:2" x14ac:dyDescent="0.25">
      <c r="B76" s="313" t="s">
        <v>48</v>
      </c>
    </row>
    <row r="78" spans="1:2" x14ac:dyDescent="0.25">
      <c r="A78" s="312"/>
    </row>
    <row r="79" spans="1:2" x14ac:dyDescent="0.25">
      <c r="B79" s="503" t="s">
        <v>52</v>
      </c>
    </row>
    <row r="80" spans="1:2" x14ac:dyDescent="0.25">
      <c r="B80" s="503" t="s">
        <v>53</v>
      </c>
    </row>
    <row r="81" spans="2:2" x14ac:dyDescent="0.25">
      <c r="B81" s="313" t="s">
        <v>54</v>
      </c>
    </row>
    <row r="82" spans="2:2" x14ac:dyDescent="0.25">
      <c r="B82" s="503" t="s">
        <v>55</v>
      </c>
    </row>
    <row r="83" spans="2:2" x14ac:dyDescent="0.25">
      <c r="B83" s="313" t="s">
        <v>56</v>
      </c>
    </row>
    <row r="84" spans="2:2" x14ac:dyDescent="0.25">
      <c r="B84" s="503" t="s">
        <v>57</v>
      </c>
    </row>
    <row r="85" spans="2:2" x14ac:dyDescent="0.25">
      <c r="B85" s="313" t="s">
        <v>56</v>
      </c>
    </row>
    <row r="86" spans="2:2" x14ac:dyDescent="0.25">
      <c r="B86" s="503" t="s">
        <v>58</v>
      </c>
    </row>
    <row r="87" spans="2:2" x14ac:dyDescent="0.25">
      <c r="B87" s="313" t="s">
        <v>56</v>
      </c>
    </row>
    <row r="90" spans="2:2" x14ac:dyDescent="0.25">
      <c r="B90" s="503"/>
    </row>
    <row r="91" spans="2:2" x14ac:dyDescent="0.25">
      <c r="B91" s="505"/>
    </row>
    <row r="92" spans="2:2" x14ac:dyDescent="0.25">
      <c r="B92" s="503"/>
    </row>
    <row r="93" spans="2:2" x14ac:dyDescent="0.25">
      <c r="B93" s="505"/>
    </row>
    <row r="94" spans="2:2" x14ac:dyDescent="0.25">
      <c r="B94" s="503"/>
    </row>
    <row r="95" spans="2:2" x14ac:dyDescent="0.25">
      <c r="B95" s="505"/>
    </row>
    <row r="96" spans="2:2" x14ac:dyDescent="0.25">
      <c r="B96" s="504"/>
    </row>
    <row r="97" spans="2:2" x14ac:dyDescent="0.25">
      <c r="B97" s="50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B1:AK55"/>
  <sheetViews>
    <sheetView showGridLines="0" view="pageBreakPreview" zoomScale="85" zoomScaleNormal="75" zoomScaleSheetLayoutView="85" workbookViewId="0">
      <selection activeCell="G4" sqref="G4"/>
    </sheetView>
  </sheetViews>
  <sheetFormatPr defaultColWidth="8" defaultRowHeight="12.75" x14ac:dyDescent="0.2"/>
  <cols>
    <col min="1" max="1" width="8.75" style="507" customWidth="1"/>
    <col min="2" max="2" width="27.875" style="507" customWidth="1"/>
    <col min="3" max="3" width="0.125" style="507" hidden="1" customWidth="1"/>
    <col min="4" max="5" width="19.375" style="507" customWidth="1"/>
    <col min="6" max="6" width="17.875" style="507" bestFit="1" customWidth="1"/>
    <col min="7" max="7" width="11.25" style="507" bestFit="1" customWidth="1"/>
    <col min="8" max="40" width="8" style="507" customWidth="1"/>
    <col min="41" max="16384" width="8" style="507"/>
  </cols>
  <sheetData>
    <row r="1" spans="2:37" s="302" customFormat="1" ht="25.15" customHeight="1" x14ac:dyDescent="0.25">
      <c r="B1" s="93"/>
      <c r="C1" s="93"/>
      <c r="G1" s="94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</row>
    <row r="2" spans="2:37" s="302" customFormat="1" ht="15.75" customHeight="1" x14ac:dyDescent="0.25">
      <c r="B2" s="315" t="s">
        <v>59</v>
      </c>
      <c r="C2" s="99"/>
      <c r="D2" s="95"/>
      <c r="E2" s="95"/>
      <c r="F2" s="96"/>
      <c r="G2" s="316" t="s">
        <v>60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</row>
    <row r="3" spans="2:37" ht="28.5" customHeight="1" x14ac:dyDescent="0.25">
      <c r="B3" s="300"/>
      <c r="C3" s="300" t="s">
        <v>61</v>
      </c>
      <c r="D3" s="301" t="str">
        <f>+ВВОД!B23</f>
        <v xml:space="preserve">STIR: </v>
      </c>
      <c r="E3" s="301" t="s">
        <v>62</v>
      </c>
      <c r="F3" s="300" t="s">
        <v>63</v>
      </c>
      <c r="G3" s="301" t="s">
        <v>64</v>
      </c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</row>
    <row r="4" spans="2:37" ht="32.25" customHeight="1" x14ac:dyDescent="0.25">
      <c r="B4" s="205" t="s">
        <v>65</v>
      </c>
      <c r="C4" s="206"/>
      <c r="D4" s="207">
        <v>0</v>
      </c>
      <c r="E4" s="320" t="str">
        <f>+ВВОД!B44</f>
        <v>100000000</v>
      </c>
      <c r="F4" s="208">
        <f>E4+D4</f>
        <v>100000000</v>
      </c>
      <c r="G4" s="327">
        <f>F4/$F$13</f>
        <v>0.98039215686274506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</row>
    <row r="5" spans="2:37" ht="15.75" customHeight="1" x14ac:dyDescent="0.25">
      <c r="B5" s="205" t="s">
        <v>66</v>
      </c>
      <c r="C5" s="206"/>
      <c r="D5" s="207" t="str">
        <f>+ВВОД!B42</f>
        <v>50000000</v>
      </c>
      <c r="E5" s="207">
        <v>0</v>
      </c>
      <c r="F5" s="208" t="str">
        <f>D5</f>
        <v>50000000</v>
      </c>
      <c r="G5" s="327">
        <f>F5/F13</f>
        <v>0.49019607843137253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spans="2:37" ht="22.5" customHeight="1" x14ac:dyDescent="0.25">
      <c r="B6" s="209" t="s">
        <v>67</v>
      </c>
      <c r="C6" s="328"/>
      <c r="D6" s="98">
        <f>+SUM(D4:D5)</f>
        <v>0</v>
      </c>
      <c r="E6" s="98">
        <f>SUM(E4:E4)</f>
        <v>0</v>
      </c>
      <c r="F6" s="98">
        <f>SUM(F4:F4)</f>
        <v>100000000</v>
      </c>
      <c r="G6" s="327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 spans="2:37" ht="15.75" customHeight="1" x14ac:dyDescent="0.25">
      <c r="B7" s="210" t="s">
        <v>68</v>
      </c>
      <c r="C7" s="329"/>
      <c r="D7" s="98">
        <f>SUM(D8:D8)+D9</f>
        <v>0</v>
      </c>
      <c r="E7" s="98">
        <v>0</v>
      </c>
      <c r="F7" s="98">
        <f>SUM(C7:D7)</f>
        <v>0</v>
      </c>
      <c r="G7" s="327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</row>
    <row r="8" spans="2:37" ht="15.75" customHeight="1" x14ac:dyDescent="0.25">
      <c r="B8" s="211" t="s">
        <v>68</v>
      </c>
      <c r="D8" s="330">
        <f>'Share of Costs'!G8</f>
        <v>0</v>
      </c>
      <c r="E8" s="330">
        <v>0</v>
      </c>
      <c r="F8" s="208">
        <f>SUM(C8:D8)</f>
        <v>0</v>
      </c>
      <c r="G8" s="327">
        <f>F8/$F$13</f>
        <v>0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</row>
    <row r="9" spans="2:37" ht="19.899999999999999" hidden="1" customHeight="1" x14ac:dyDescent="0.25">
      <c r="B9" s="212" t="s">
        <v>69</v>
      </c>
      <c r="C9" s="329"/>
      <c r="D9" s="213">
        <f>'Share of Costs'!G9</f>
        <v>0</v>
      </c>
      <c r="E9" s="213"/>
      <c r="F9" s="213">
        <f>SUM(D9:D9)</f>
        <v>0</v>
      </c>
      <c r="G9" s="327">
        <f>F9/$F$13</f>
        <v>0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</row>
    <row r="10" spans="2:37" ht="15.75" customHeight="1" x14ac:dyDescent="0.25">
      <c r="B10" s="210" t="s">
        <v>69</v>
      </c>
      <c r="C10" s="331"/>
      <c r="D10" s="214">
        <f>SUM(D11:D12)</f>
        <v>2000000</v>
      </c>
      <c r="E10" s="214">
        <f>+E12</f>
        <v>0</v>
      </c>
      <c r="F10" s="214">
        <f>SUM(F11:F12)</f>
        <v>2000000</v>
      </c>
      <c r="G10" s="327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</row>
    <row r="11" spans="2:37" ht="15.75" customHeight="1" x14ac:dyDescent="0.25">
      <c r="B11" s="210" t="s">
        <v>70</v>
      </c>
      <c r="C11" s="329"/>
      <c r="D11" s="207">
        <f>'Share of Costs'!C11</f>
        <v>0</v>
      </c>
      <c r="E11" s="207">
        <v>0</v>
      </c>
      <c r="F11" s="208">
        <f>SUM(D11:D11)</f>
        <v>0</v>
      </c>
      <c r="G11" s="215">
        <f>F11/$F$13</f>
        <v>0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</row>
    <row r="12" spans="2:37" ht="31.5" customHeight="1" x14ac:dyDescent="0.25">
      <c r="B12" s="211" t="s">
        <v>71</v>
      </c>
      <c r="C12" s="331"/>
      <c r="D12" s="207">
        <f>'Share of Costs'!C12</f>
        <v>2000000</v>
      </c>
      <c r="E12" s="207">
        <v>0</v>
      </c>
      <c r="F12" s="208">
        <f>SUM(D12:D12)</f>
        <v>2000000</v>
      </c>
      <c r="G12" s="215">
        <f>F12/$F$13</f>
        <v>1.9607843137254902E-2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</row>
    <row r="13" spans="2:37" ht="15.75" customHeight="1" x14ac:dyDescent="0.25">
      <c r="B13" s="228" t="s">
        <v>59</v>
      </c>
      <c r="C13" s="216"/>
      <c r="D13" s="332">
        <f>D7+D6+D10</f>
        <v>2000000</v>
      </c>
      <c r="E13" s="332">
        <f>+E4+E5</f>
        <v>100000000</v>
      </c>
      <c r="F13" s="333">
        <f>E13+D13</f>
        <v>102000000</v>
      </c>
      <c r="G13" s="217">
        <f>SUM(G4:G12)</f>
        <v>1.4901960784313724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</row>
    <row r="14" spans="2:37" ht="15.75" customHeight="1" x14ac:dyDescent="0.25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</row>
    <row r="15" spans="2:37" ht="15.75" customHeight="1" x14ac:dyDescent="0.25">
      <c r="D15" s="334"/>
      <c r="E15" s="190"/>
      <c r="F15" s="302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</row>
    <row r="16" spans="2:37" ht="21" customHeight="1" x14ac:dyDescent="0.25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</row>
    <row r="17" spans="2:21" ht="25.5" customHeight="1" x14ac:dyDescent="0.25">
      <c r="B17" s="58"/>
      <c r="C17" s="58"/>
      <c r="D17" s="61"/>
      <c r="E17" s="61"/>
      <c r="F17" s="58"/>
      <c r="G17" s="58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</row>
    <row r="18" spans="2:21" ht="15.75" customHeight="1" x14ac:dyDescent="0.25">
      <c r="B18" s="58"/>
      <c r="C18" s="58"/>
      <c r="D18" s="58"/>
      <c r="E18" s="58"/>
      <c r="F18" s="58"/>
      <c r="G18" s="58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</row>
    <row r="19" spans="2:21" ht="15.75" customHeight="1" x14ac:dyDescent="0.25">
      <c r="B19" s="58"/>
      <c r="C19" s="58"/>
      <c r="D19" s="58"/>
      <c r="E19" s="58"/>
      <c r="F19" s="58"/>
      <c r="G19" s="58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</row>
    <row r="20" spans="2:21" ht="15.75" customHeight="1" x14ac:dyDescent="0.25">
      <c r="B20" s="58"/>
      <c r="C20" s="58"/>
      <c r="D20" s="58"/>
      <c r="E20" s="58"/>
      <c r="F20" s="58"/>
      <c r="G20" s="58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</row>
    <row r="21" spans="2:21" ht="15.75" customHeight="1" x14ac:dyDescent="0.25">
      <c r="B21" s="58"/>
      <c r="C21" s="58"/>
      <c r="D21" s="58"/>
      <c r="E21" s="58"/>
      <c r="F21" s="58"/>
      <c r="G21" s="58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</row>
    <row r="22" spans="2:21" ht="15.75" customHeight="1" x14ac:dyDescent="0.25">
      <c r="B22" s="58"/>
      <c r="C22" s="58"/>
      <c r="D22" s="58"/>
      <c r="E22" s="58"/>
      <c r="F22" s="58"/>
      <c r="G22" s="58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</row>
    <row r="23" spans="2:21" ht="15.75" customHeight="1" x14ac:dyDescent="0.25">
      <c r="B23" s="58"/>
      <c r="C23" s="58"/>
      <c r="D23" s="58"/>
      <c r="E23" s="58"/>
      <c r="F23" s="58"/>
      <c r="G23" s="58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</row>
    <row r="24" spans="2:21" ht="15.75" customHeight="1" x14ac:dyDescent="0.25">
      <c r="B24" s="58"/>
      <c r="C24" s="58"/>
      <c r="D24" s="58"/>
      <c r="E24" s="58"/>
      <c r="F24" s="58"/>
      <c r="G24" s="58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</row>
    <row r="25" spans="2:21" ht="15.75" customHeight="1" x14ac:dyDescent="0.25">
      <c r="B25" s="58"/>
      <c r="C25" s="58"/>
      <c r="D25" s="58"/>
      <c r="E25" s="58"/>
      <c r="F25" s="58"/>
      <c r="G25" s="58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</row>
    <row r="26" spans="2:21" ht="15.75" customHeight="1" x14ac:dyDescent="0.25">
      <c r="B26" s="58"/>
      <c r="C26" s="58"/>
      <c r="D26" s="58"/>
      <c r="E26" s="58"/>
      <c r="F26" s="58"/>
      <c r="G26" s="58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</row>
    <row r="27" spans="2:21" ht="15.75" customHeight="1" x14ac:dyDescent="0.25">
      <c r="B27" s="58"/>
      <c r="C27" s="58"/>
      <c r="D27" s="58"/>
      <c r="E27" s="58"/>
      <c r="F27" s="58"/>
      <c r="G27" s="58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</row>
    <row r="28" spans="2:21" ht="15.75" customHeight="1" x14ac:dyDescent="0.25">
      <c r="B28" s="58"/>
      <c r="C28" s="58"/>
      <c r="D28" s="58"/>
      <c r="E28" s="58"/>
      <c r="F28" s="58"/>
      <c r="G28" s="58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</row>
    <row r="29" spans="2:21" ht="15.75" customHeight="1" x14ac:dyDescent="0.25">
      <c r="B29" s="58"/>
      <c r="C29" s="58"/>
      <c r="D29" s="58"/>
      <c r="E29" s="58"/>
      <c r="F29" s="58"/>
      <c r="G29" s="58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</row>
    <row r="30" spans="2:21" ht="15.75" customHeight="1" x14ac:dyDescent="0.25">
      <c r="B30" s="58"/>
      <c r="C30" s="58"/>
      <c r="D30" s="58"/>
      <c r="E30" s="58"/>
      <c r="F30" s="58"/>
      <c r="G30" s="58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</row>
    <row r="31" spans="2:21" ht="15.75" customHeight="1" x14ac:dyDescent="0.25">
      <c r="B31" s="58"/>
      <c r="C31" s="58"/>
      <c r="D31" s="58"/>
      <c r="E31" s="58"/>
      <c r="F31" s="58"/>
      <c r="G31" s="58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</row>
    <row r="32" spans="2:21" ht="15.75" customHeight="1" x14ac:dyDescent="0.25">
      <c r="B32" s="58"/>
      <c r="C32" s="58"/>
      <c r="D32" s="58"/>
      <c r="E32" s="58"/>
      <c r="F32" s="58"/>
      <c r="G32" s="58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</row>
    <row r="33" spans="2:21" ht="15.75" customHeight="1" x14ac:dyDescent="0.25">
      <c r="B33" s="58"/>
      <c r="C33" s="58"/>
      <c r="D33" s="58"/>
      <c r="E33" s="58"/>
      <c r="F33" s="58"/>
      <c r="G33" s="58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</row>
    <row r="34" spans="2:21" ht="15.75" customHeight="1" x14ac:dyDescent="0.25">
      <c r="B34" s="58"/>
      <c r="C34" s="58"/>
      <c r="D34" s="58"/>
      <c r="E34" s="58"/>
      <c r="F34" s="58"/>
      <c r="G34" s="58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</row>
    <row r="35" spans="2:21" ht="15.75" customHeight="1" x14ac:dyDescent="0.25">
      <c r="B35" s="58"/>
      <c r="C35" s="58"/>
      <c r="D35" s="58"/>
      <c r="E35" s="58"/>
      <c r="F35" s="58"/>
      <c r="G35" s="58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</row>
    <row r="36" spans="2:21" ht="15.75" customHeight="1" x14ac:dyDescent="0.25">
      <c r="B36" s="58"/>
      <c r="C36" s="58"/>
      <c r="D36" s="58"/>
      <c r="E36" s="58"/>
      <c r="F36" s="58"/>
      <c r="G36" s="58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</row>
    <row r="37" spans="2:21" ht="15.75" customHeight="1" x14ac:dyDescent="0.25">
      <c r="B37" s="58"/>
      <c r="C37" s="58"/>
      <c r="D37" s="58"/>
      <c r="E37" s="58"/>
      <c r="F37" s="58"/>
      <c r="G37" s="58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</row>
    <row r="38" spans="2:21" ht="15.75" customHeight="1" x14ac:dyDescent="0.25">
      <c r="B38" s="58"/>
      <c r="C38" s="58"/>
      <c r="D38" s="58"/>
      <c r="E38" s="58"/>
      <c r="F38" s="58"/>
      <c r="G38" s="58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</row>
    <row r="39" spans="2:21" ht="15.75" customHeight="1" x14ac:dyDescent="0.25">
      <c r="B39" s="58"/>
      <c r="C39" s="58"/>
      <c r="D39" s="58"/>
      <c r="E39" s="58"/>
      <c r="F39" s="58"/>
      <c r="G39" s="58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</row>
    <row r="40" spans="2:21" ht="15.75" customHeight="1" x14ac:dyDescent="0.25">
      <c r="B40" s="58"/>
      <c r="C40" s="58"/>
      <c r="D40" s="58"/>
      <c r="E40" s="58"/>
      <c r="F40" s="58"/>
      <c r="G40" s="58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</row>
    <row r="41" spans="2:21" ht="15.75" customHeight="1" x14ac:dyDescent="0.25">
      <c r="B41" s="58"/>
      <c r="C41" s="58"/>
      <c r="D41" s="58"/>
      <c r="E41" s="58"/>
      <c r="F41" s="58"/>
      <c r="G41" s="58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</row>
    <row r="42" spans="2:21" ht="15.75" customHeight="1" x14ac:dyDescent="0.25">
      <c r="B42" s="58"/>
      <c r="C42" s="58"/>
      <c r="D42" s="58"/>
      <c r="E42" s="58"/>
      <c r="F42" s="58"/>
      <c r="G42" s="58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</row>
    <row r="43" spans="2:21" ht="15.75" customHeight="1" x14ac:dyDescent="0.25">
      <c r="B43" s="58"/>
      <c r="C43" s="58"/>
      <c r="D43" s="58"/>
      <c r="E43" s="58"/>
      <c r="F43" s="58"/>
      <c r="G43" s="58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</row>
    <row r="44" spans="2:21" ht="15.75" customHeight="1" x14ac:dyDescent="0.25">
      <c r="B44" s="58"/>
      <c r="C44" s="58"/>
      <c r="D44" s="58"/>
      <c r="E44" s="58"/>
      <c r="F44" s="58"/>
      <c r="G44" s="58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</row>
    <row r="45" spans="2:21" ht="15.75" customHeight="1" x14ac:dyDescent="0.25">
      <c r="B45" s="58"/>
      <c r="C45" s="58"/>
      <c r="D45" s="58"/>
      <c r="E45" s="58"/>
      <c r="F45" s="58"/>
      <c r="G45" s="58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</row>
    <row r="46" spans="2:21" ht="15.75" customHeight="1" x14ac:dyDescent="0.25">
      <c r="B46" s="58"/>
      <c r="C46" s="58"/>
      <c r="D46" s="58"/>
      <c r="E46" s="58"/>
      <c r="F46" s="58"/>
      <c r="G46" s="58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</row>
    <row r="47" spans="2:21" ht="15.75" customHeight="1" x14ac:dyDescent="0.25">
      <c r="B47" s="58"/>
      <c r="C47" s="58"/>
      <c r="D47" s="58"/>
      <c r="E47" s="58"/>
      <c r="F47" s="58"/>
      <c r="G47" s="58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</row>
    <row r="48" spans="2:21" ht="15.75" customHeight="1" x14ac:dyDescent="0.25">
      <c r="B48" s="58"/>
      <c r="C48" s="58"/>
      <c r="D48" s="58"/>
      <c r="E48" s="58"/>
      <c r="F48" s="58"/>
      <c r="G48" s="58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</row>
    <row r="49" spans="2:21" ht="15.75" customHeight="1" x14ac:dyDescent="0.25">
      <c r="B49" s="58"/>
      <c r="C49" s="58"/>
      <c r="D49" s="58"/>
      <c r="E49" s="58"/>
      <c r="F49" s="58"/>
      <c r="G49" s="58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</row>
    <row r="50" spans="2:21" ht="15.75" customHeight="1" x14ac:dyDescent="0.25">
      <c r="B50" s="58"/>
      <c r="C50" s="58"/>
      <c r="D50" s="58"/>
      <c r="E50" s="58"/>
      <c r="F50" s="58"/>
      <c r="G50" s="58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</row>
    <row r="51" spans="2:21" ht="15.75" customHeight="1" x14ac:dyDescent="0.25">
      <c r="B51" s="58"/>
      <c r="C51" s="58"/>
      <c r="D51" s="58"/>
      <c r="E51" s="58"/>
      <c r="F51" s="58"/>
      <c r="G51" s="58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</row>
    <row r="52" spans="2:21" ht="15.75" customHeight="1" x14ac:dyDescent="0.25">
      <c r="B52" s="58"/>
      <c r="C52" s="58"/>
      <c r="D52" s="58"/>
      <c r="E52" s="58"/>
      <c r="F52" s="58"/>
      <c r="G52" s="58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</row>
    <row r="53" spans="2:21" ht="15.75" customHeight="1" x14ac:dyDescent="0.25">
      <c r="B53" s="58"/>
      <c r="C53" s="58"/>
      <c r="D53" s="58"/>
      <c r="E53" s="58"/>
      <c r="F53" s="58"/>
      <c r="G53" s="58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</row>
    <row r="54" spans="2:21" ht="15.75" customHeight="1" x14ac:dyDescent="0.25">
      <c r="B54" s="58"/>
      <c r="C54" s="58"/>
      <c r="D54" s="58"/>
      <c r="E54" s="58"/>
      <c r="F54" s="58"/>
      <c r="G54" s="58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</row>
    <row r="55" spans="2:21" ht="15" customHeight="1" x14ac:dyDescent="0.2"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</row>
  </sheetData>
  <printOptions horizontalCentered="1" verticalCentered="1"/>
  <pageMargins left="0.19685039370078741" right="0.15748031496062989" top="0.19685039370078741" bottom="0.19685039370078741" header="0.15748031496062989" footer="0.19685039370078741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B1:AN72"/>
  <sheetViews>
    <sheetView showGridLines="0" view="pageBreakPreview" zoomScale="84" zoomScaleNormal="75" zoomScaleSheetLayoutView="84" workbookViewId="0">
      <selection activeCell="F8" sqref="F8"/>
    </sheetView>
  </sheetViews>
  <sheetFormatPr defaultColWidth="8" defaultRowHeight="12.75" outlineLevelRow="1" x14ac:dyDescent="0.2"/>
  <cols>
    <col min="1" max="1" width="8.75" style="507" customWidth="1"/>
    <col min="2" max="2" width="24.75" style="507" customWidth="1"/>
    <col min="3" max="3" width="0.25" style="507" hidden="1" customWidth="1"/>
    <col min="4" max="4" width="17.625" style="507" customWidth="1"/>
    <col min="5" max="5" width="16.25" style="507" customWidth="1"/>
    <col min="6" max="6" width="13.25" style="507" customWidth="1"/>
    <col min="7" max="7" width="12.875" style="507" customWidth="1"/>
    <col min="8" max="8" width="8.875" style="507" customWidth="1"/>
    <col min="9" max="41" width="8" style="507" customWidth="1"/>
    <col min="42" max="16384" width="8" style="507"/>
  </cols>
  <sheetData>
    <row r="1" spans="2:40" ht="41.25" customHeight="1" x14ac:dyDescent="0.25">
      <c r="B1" s="519" t="s">
        <v>72</v>
      </c>
      <c r="C1" s="520"/>
      <c r="D1" s="252"/>
      <c r="E1" s="252"/>
      <c r="F1" s="252"/>
      <c r="G1" s="308" t="s">
        <v>73</v>
      </c>
      <c r="H1" s="58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</row>
    <row r="2" spans="2:40" ht="15.75" customHeight="1" x14ac:dyDescent="0.25">
      <c r="B2" s="303"/>
      <c r="C2" s="303"/>
      <c r="D2" s="42" t="s">
        <v>74</v>
      </c>
      <c r="E2" s="42" t="s">
        <v>75</v>
      </c>
      <c r="F2" s="42" t="s">
        <v>76</v>
      </c>
      <c r="G2" s="42" t="s">
        <v>77</v>
      </c>
      <c r="H2" s="58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</row>
    <row r="3" spans="2:40" s="15" customFormat="1" ht="15.75" customHeight="1" x14ac:dyDescent="0.25">
      <c r="B3" s="209" t="s">
        <v>78</v>
      </c>
      <c r="C3" s="303"/>
      <c r="D3" s="304"/>
      <c r="E3" s="304"/>
      <c r="F3" s="304"/>
      <c r="G3" s="304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</row>
    <row r="4" spans="2:40" ht="42" customHeight="1" x14ac:dyDescent="0.25">
      <c r="B4" s="303" t="s">
        <v>79</v>
      </c>
      <c r="C4" s="303"/>
      <c r="D4" s="305">
        <f>'Share of Costs'!C14</f>
        <v>52000000</v>
      </c>
      <c r="E4" s="234">
        <f>SUM(D4:D4)</f>
        <v>52000000</v>
      </c>
      <c r="F4" s="235">
        <f>E4/E5</f>
        <v>1</v>
      </c>
      <c r="G4" s="306"/>
      <c r="H4" s="58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</row>
    <row r="5" spans="2:40" ht="15.75" customHeight="1" x14ac:dyDescent="0.25">
      <c r="B5" s="209" t="s">
        <v>80</v>
      </c>
      <c r="C5" s="303"/>
      <c r="D5" s="234">
        <f>SUM(D3:D4)</f>
        <v>52000000</v>
      </c>
      <c r="E5" s="234">
        <f>SUM(E4:E4)</f>
        <v>52000000</v>
      </c>
      <c r="F5" s="235"/>
      <c r="G5" s="335">
        <f>E5/E10</f>
        <v>1</v>
      </c>
      <c r="H5" s="69"/>
      <c r="I5" s="41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</row>
    <row r="6" spans="2:40" ht="15.75" customHeight="1" x14ac:dyDescent="0.25">
      <c r="B6" s="209" t="s">
        <v>81</v>
      </c>
      <c r="C6" s="303"/>
      <c r="D6" s="307"/>
      <c r="E6" s="307"/>
      <c r="F6" s="235"/>
      <c r="G6" s="307"/>
      <c r="H6" s="43"/>
      <c r="I6" s="41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</row>
    <row r="7" spans="2:40" ht="15.75" customHeight="1" x14ac:dyDescent="0.25">
      <c r="B7" s="303"/>
      <c r="C7" s="303"/>
      <c r="D7" s="305">
        <f>ProjCost!E6</f>
        <v>0</v>
      </c>
      <c r="E7" s="234">
        <f>D7</f>
        <v>0</v>
      </c>
      <c r="F7" s="235"/>
      <c r="G7" s="235"/>
      <c r="H7" s="43"/>
      <c r="I7" s="41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</row>
    <row r="8" spans="2:40" ht="15.75" customHeight="1" x14ac:dyDescent="0.25">
      <c r="B8" s="209" t="s">
        <v>82</v>
      </c>
      <c r="C8" s="303"/>
      <c r="D8" s="234">
        <f>SUM(D7:D7)</f>
        <v>0</v>
      </c>
      <c r="E8" s="234">
        <f>SUM(E7:E7)</f>
        <v>0</v>
      </c>
      <c r="F8" s="235"/>
      <c r="G8" s="336">
        <f>E8/E10</f>
        <v>0</v>
      </c>
      <c r="H8" s="43"/>
      <c r="I8" s="41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</row>
    <row r="9" spans="2:40" ht="15.75" hidden="1" customHeight="1" outlineLevel="1" x14ac:dyDescent="0.25">
      <c r="B9" s="303" t="s">
        <v>83</v>
      </c>
      <c r="C9" s="303"/>
      <c r="D9" s="337"/>
      <c r="E9" s="337">
        <f>E10-ProjCost!F13</f>
        <v>-50000000</v>
      </c>
      <c r="F9" s="307"/>
      <c r="G9" s="307"/>
      <c r="H9" s="43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</row>
    <row r="10" spans="2:40" ht="15.75" customHeight="1" collapsed="1" x14ac:dyDescent="0.25">
      <c r="B10" s="209" t="s">
        <v>83</v>
      </c>
      <c r="C10" s="303"/>
      <c r="D10" s="234">
        <f>D5+D8</f>
        <v>52000000</v>
      </c>
      <c r="E10" s="234">
        <f>E5+E8</f>
        <v>52000000</v>
      </c>
      <c r="F10" s="307"/>
      <c r="G10" s="306">
        <f>G5+G8</f>
        <v>1</v>
      </c>
      <c r="H10" s="43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</row>
    <row r="11" spans="2:40" ht="11.25" hidden="1" customHeight="1" thickBot="1" x14ac:dyDescent="0.3">
      <c r="B11" s="246"/>
      <c r="C11" s="246"/>
      <c r="D11" s="229"/>
      <c r="E11" s="236">
        <f ca="1">TODAY()</f>
        <v>46119</v>
      </c>
      <c r="F11" s="246"/>
      <c r="G11" s="246"/>
      <c r="H11" s="58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</row>
    <row r="12" spans="2:40" ht="409.5" hidden="1" customHeight="1" x14ac:dyDescent="0.25">
      <c r="B12" s="237"/>
      <c r="C12" s="230" t="s">
        <v>84</v>
      </c>
      <c r="D12" s="45" t="s">
        <v>85</v>
      </c>
      <c r="E12" s="46" t="s">
        <v>86</v>
      </c>
      <c r="F12" s="246"/>
      <c r="G12" s="246"/>
      <c r="H12" s="58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</row>
    <row r="13" spans="2:40" ht="409.5" hidden="1" customHeight="1" x14ac:dyDescent="0.25">
      <c r="B13" s="238" t="s">
        <v>87</v>
      </c>
      <c r="C13" s="233" t="s">
        <v>88</v>
      </c>
      <c r="D13" s="231">
        <v>0</v>
      </c>
      <c r="E13" s="239" t="e">
        <f>D13+#REF!</f>
        <v>#REF!</v>
      </c>
      <c r="F13" s="246"/>
      <c r="G13" s="246"/>
      <c r="H13" s="58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</row>
    <row r="14" spans="2:40" ht="189" hidden="1" customHeight="1" x14ac:dyDescent="0.2">
      <c r="B14" s="238" t="s">
        <v>89</v>
      </c>
      <c r="C14" s="233" t="s">
        <v>90</v>
      </c>
      <c r="D14" s="232">
        <v>0</v>
      </c>
      <c r="E14" s="240" t="e">
        <f>D14+#REF!</f>
        <v>#REF!</v>
      </c>
      <c r="F14" s="246"/>
      <c r="G14" s="246"/>
      <c r="H14" s="53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</row>
    <row r="15" spans="2:40" ht="346.5" hidden="1" customHeight="1" x14ac:dyDescent="0.25">
      <c r="B15" s="238" t="s">
        <v>91</v>
      </c>
      <c r="C15" s="233" t="s">
        <v>92</v>
      </c>
      <c r="D15" s="232">
        <v>0</v>
      </c>
      <c r="E15" s="240" t="e">
        <f>D15+#REF!</f>
        <v>#REF!</v>
      </c>
      <c r="F15" s="246"/>
      <c r="G15" s="246"/>
      <c r="H15" s="58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</row>
    <row r="16" spans="2:40" ht="158.25" hidden="1" customHeight="1" thickBot="1" x14ac:dyDescent="0.3">
      <c r="B16" s="241"/>
      <c r="C16" s="242" t="s">
        <v>93</v>
      </c>
      <c r="D16" s="243">
        <f>SUM(D13:D15)</f>
        <v>0</v>
      </c>
      <c r="E16" s="244" t="e">
        <f>D16+#REF!</f>
        <v>#REF!</v>
      </c>
      <c r="F16" s="338"/>
      <c r="G16" s="246"/>
      <c r="H16" s="58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</row>
    <row r="17" spans="2:40" ht="63" hidden="1" customHeight="1" x14ac:dyDescent="0.25">
      <c r="B17" s="245" t="s">
        <v>94</v>
      </c>
      <c r="C17" s="246"/>
      <c r="D17" s="247"/>
      <c r="E17" s="248" t="e">
        <f>#REF!</f>
        <v>#REF!</v>
      </c>
      <c r="F17" s="246"/>
      <c r="G17" s="246"/>
      <c r="H17" s="58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</row>
    <row r="18" spans="2:40" ht="32.25" hidden="1" customHeight="1" thickBot="1" x14ac:dyDescent="0.3">
      <c r="B18" s="249" t="s">
        <v>95</v>
      </c>
      <c r="C18" s="250"/>
      <c r="D18" s="229"/>
      <c r="E18" s="251"/>
      <c r="F18" s="246"/>
      <c r="G18" s="246"/>
      <c r="H18" s="58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</row>
    <row r="19" spans="2:40" ht="11.25" hidden="1" customHeight="1" thickBot="1" x14ac:dyDescent="0.3">
      <c r="B19" s="58"/>
      <c r="C19" s="70"/>
      <c r="D19" s="61"/>
      <c r="E19" s="61"/>
      <c r="F19" s="58"/>
      <c r="G19" s="58"/>
      <c r="H19" s="58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</row>
    <row r="20" spans="2:40" ht="409.5" hidden="1" customHeight="1" x14ac:dyDescent="0.25">
      <c r="B20" s="44"/>
      <c r="C20" s="62" t="s">
        <v>96</v>
      </c>
      <c r="D20" s="63" t="s">
        <v>97</v>
      </c>
      <c r="E20" s="46" t="s">
        <v>86</v>
      </c>
      <c r="F20" s="58"/>
      <c r="G20" s="58"/>
      <c r="H20" s="5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</row>
    <row r="21" spans="2:40" ht="409.5" hidden="1" customHeight="1" x14ac:dyDescent="0.25">
      <c r="B21" s="47" t="s">
        <v>87</v>
      </c>
      <c r="C21" s="48" t="s">
        <v>98</v>
      </c>
      <c r="D21" s="64">
        <v>0</v>
      </c>
      <c r="E21" s="65">
        <f>SUM(D21:D21)</f>
        <v>0</v>
      </c>
      <c r="F21" s="58"/>
      <c r="G21" s="58"/>
      <c r="H21" s="58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</row>
    <row r="22" spans="2:40" ht="15.75" hidden="1" customHeight="1" x14ac:dyDescent="0.25">
      <c r="B22" s="66"/>
      <c r="C22" s="67" t="s">
        <v>99</v>
      </c>
      <c r="D22" s="68">
        <f>SUM(D21:D21)</f>
        <v>0</v>
      </c>
      <c r="E22" s="57">
        <f>SUM(E21:E21)</f>
        <v>0</v>
      </c>
      <c r="F22" s="69"/>
      <c r="G22" s="58"/>
      <c r="H22" s="58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</row>
    <row r="23" spans="2:40" ht="15.75" hidden="1" customHeight="1" x14ac:dyDescent="0.25">
      <c r="B23" s="58"/>
      <c r="C23" s="70"/>
      <c r="D23" s="71"/>
      <c r="E23" s="72"/>
      <c r="F23" s="69"/>
      <c r="G23" s="58"/>
      <c r="H23" s="58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</row>
    <row r="24" spans="2:40" ht="15.75" hidden="1" customHeight="1" x14ac:dyDescent="0.25">
      <c r="B24" s="58"/>
      <c r="C24" s="70"/>
      <c r="D24" s="71"/>
      <c r="E24" s="72"/>
      <c r="F24" s="69"/>
      <c r="G24" s="58"/>
      <c r="H24" s="58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</row>
    <row r="25" spans="2:40" ht="15.75" hidden="1" customHeight="1" x14ac:dyDescent="0.25">
      <c r="B25" s="44"/>
      <c r="C25" s="73" t="s">
        <v>100</v>
      </c>
      <c r="D25" s="74" t="s">
        <v>97</v>
      </c>
      <c r="E25" s="75" t="s">
        <v>86</v>
      </c>
      <c r="F25" s="69"/>
      <c r="G25" s="58"/>
      <c r="H25" s="58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</row>
    <row r="26" spans="2:40" ht="15.75" hidden="1" customHeight="1" x14ac:dyDescent="0.25">
      <c r="B26" s="76" t="s">
        <v>87</v>
      </c>
      <c r="C26" s="77" t="s">
        <v>101</v>
      </c>
      <c r="D26" s="339" t="e">
        <f>ProjCost!#REF!</f>
        <v>#REF!</v>
      </c>
      <c r="E26" s="78" t="e">
        <f>D26+#REF!</f>
        <v>#REF!</v>
      </c>
      <c r="F26" s="69"/>
      <c r="G26" s="58"/>
      <c r="H26" s="58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</row>
    <row r="27" spans="2:40" ht="15.75" hidden="1" customHeight="1" x14ac:dyDescent="0.25">
      <c r="B27" s="76" t="s">
        <v>89</v>
      </c>
      <c r="C27" s="77" t="s">
        <v>102</v>
      </c>
      <c r="D27" s="340" t="e">
        <f>ProjCost!#REF!</f>
        <v>#REF!</v>
      </c>
      <c r="E27" s="79" t="e">
        <f>D27+#REF!</f>
        <v>#REF!</v>
      </c>
      <c r="F27" s="69"/>
      <c r="G27" s="58"/>
      <c r="H27" s="58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</row>
    <row r="28" spans="2:40" ht="15.75" hidden="1" customHeight="1" x14ac:dyDescent="0.25">
      <c r="B28" s="76" t="s">
        <v>91</v>
      </c>
      <c r="C28" s="77" t="s">
        <v>103</v>
      </c>
      <c r="D28" s="340" t="e">
        <f>ProjCost!#REF!</f>
        <v>#REF!</v>
      </c>
      <c r="E28" s="79" t="e">
        <f>D28+#REF!</f>
        <v>#REF!</v>
      </c>
      <c r="F28" s="69"/>
      <c r="G28" s="58"/>
      <c r="H28" s="58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</row>
    <row r="29" spans="2:40" ht="15.75" hidden="1" customHeight="1" x14ac:dyDescent="0.25">
      <c r="B29" s="76" t="s">
        <v>104</v>
      </c>
      <c r="C29" s="77" t="s">
        <v>105</v>
      </c>
      <c r="D29" s="340" t="e">
        <f>ProjCost!#REF!</f>
        <v>#REF!</v>
      </c>
      <c r="E29" s="79" t="e">
        <f>D29+#REF!</f>
        <v>#REF!</v>
      </c>
      <c r="F29" s="69"/>
      <c r="G29" s="58"/>
      <c r="H29" s="58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</row>
    <row r="30" spans="2:40" ht="15.75" hidden="1" customHeight="1" x14ac:dyDescent="0.25">
      <c r="B30" s="76" t="s">
        <v>106</v>
      </c>
      <c r="C30" s="77" t="s">
        <v>107</v>
      </c>
      <c r="D30" s="340" t="e">
        <f>ProjCost!#REF!</f>
        <v>#REF!</v>
      </c>
      <c r="E30" s="79" t="e">
        <f>D30+#REF!</f>
        <v>#REF!</v>
      </c>
      <c r="F30" s="69"/>
      <c r="G30" s="58"/>
      <c r="H30" s="58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2:40" ht="15.75" hidden="1" customHeight="1" x14ac:dyDescent="0.25">
      <c r="B31" s="76" t="s">
        <v>108</v>
      </c>
      <c r="C31" s="77" t="s">
        <v>109</v>
      </c>
      <c r="D31" s="340" t="e">
        <f>ProjCost!#REF!</f>
        <v>#REF!</v>
      </c>
      <c r="E31" s="79" t="e">
        <f>D31+#REF!</f>
        <v>#REF!</v>
      </c>
      <c r="F31" s="69"/>
      <c r="G31" s="58"/>
      <c r="H31" s="58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2:40" ht="15.75" hidden="1" customHeight="1" x14ac:dyDescent="0.25">
      <c r="B32" s="76" t="s">
        <v>110</v>
      </c>
      <c r="C32" s="77" t="s">
        <v>111</v>
      </c>
      <c r="D32" s="340" t="e">
        <f>ProjCost!#REF!</f>
        <v>#REF!</v>
      </c>
      <c r="E32" s="79" t="e">
        <f>D32+#REF!</f>
        <v>#REF!</v>
      </c>
      <c r="F32" s="69"/>
      <c r="G32" s="58"/>
      <c r="H32" s="58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2:40" ht="15.75" hidden="1" customHeight="1" x14ac:dyDescent="0.25">
      <c r="B33" s="76" t="s">
        <v>112</v>
      </c>
      <c r="C33" s="77" t="s">
        <v>113</v>
      </c>
      <c r="D33" s="340" t="e">
        <f>ProjCost!#REF!</f>
        <v>#REF!</v>
      </c>
      <c r="E33" s="79" t="e">
        <f>D33+#REF!</f>
        <v>#REF!</v>
      </c>
      <c r="F33" s="69"/>
      <c r="G33" s="58"/>
      <c r="H33" s="58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</row>
    <row r="34" spans="2:40" ht="15.75" hidden="1" customHeight="1" x14ac:dyDescent="0.25">
      <c r="B34" s="76" t="s">
        <v>114</v>
      </c>
      <c r="C34" s="77" t="s">
        <v>115</v>
      </c>
      <c r="D34" s="340" t="e">
        <f>ProjCost!#REF!+ProjCost!#REF!+ProjCost!#REF!+ProjCost!#REF!</f>
        <v>#REF!</v>
      </c>
      <c r="E34" s="79" t="e">
        <f>D34+#REF!</f>
        <v>#REF!</v>
      </c>
      <c r="F34" s="69"/>
      <c r="G34" s="58"/>
      <c r="H34" s="58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</row>
    <row r="35" spans="2:40" ht="15.75" hidden="1" customHeight="1" x14ac:dyDescent="0.25">
      <c r="B35" s="80" t="s">
        <v>116</v>
      </c>
      <c r="C35" s="81" t="s">
        <v>117</v>
      </c>
      <c r="D35" s="341" t="e">
        <f>ProjCost!#REF!</f>
        <v>#REF!</v>
      </c>
      <c r="E35" s="82" t="e">
        <f>D35+#REF!</f>
        <v>#REF!</v>
      </c>
      <c r="F35" s="69"/>
      <c r="G35" s="58"/>
      <c r="H35" s="58"/>
      <c r="I35" s="40"/>
      <c r="J35" s="40"/>
    </row>
    <row r="36" spans="2:40" ht="16.5" hidden="1" customHeight="1" thickBot="1" x14ac:dyDescent="0.3">
      <c r="B36" s="54"/>
      <c r="C36" s="55" t="s">
        <v>118</v>
      </c>
      <c r="D36" s="342" t="e">
        <f>SUM(D26:D35)</f>
        <v>#REF!</v>
      </c>
      <c r="E36" s="57" t="e">
        <f>D36+#REF!</f>
        <v>#REF!</v>
      </c>
      <c r="F36" s="69"/>
      <c r="G36" s="58"/>
      <c r="H36" s="58"/>
      <c r="I36" s="40"/>
      <c r="J36" s="40"/>
    </row>
    <row r="37" spans="2:40" ht="15.75" hidden="1" customHeight="1" x14ac:dyDescent="0.25">
      <c r="B37" s="58"/>
      <c r="C37" s="70"/>
      <c r="D37" s="71"/>
      <c r="E37" s="72"/>
      <c r="F37" s="69"/>
      <c r="G37" s="58"/>
      <c r="H37" s="58"/>
      <c r="I37" s="40"/>
      <c r="J37" s="40"/>
    </row>
    <row r="38" spans="2:40" ht="409.5" hidden="1" customHeight="1" x14ac:dyDescent="0.25">
      <c r="B38" s="83"/>
      <c r="C38" s="84" t="s">
        <v>119</v>
      </c>
      <c r="D38" s="74" t="s">
        <v>97</v>
      </c>
      <c r="E38" s="85" t="s">
        <v>86</v>
      </c>
      <c r="F38" s="69"/>
      <c r="G38" s="58"/>
      <c r="H38" s="58"/>
      <c r="I38" s="40"/>
      <c r="J38" s="40"/>
    </row>
    <row r="39" spans="2:40" ht="15.75" hidden="1" customHeight="1" x14ac:dyDescent="0.25">
      <c r="B39" s="76" t="s">
        <v>87</v>
      </c>
      <c r="C39" s="86" t="s">
        <v>101</v>
      </c>
      <c r="D39" s="87" t="e">
        <f>ProjCost!#REF!</f>
        <v>#REF!</v>
      </c>
      <c r="E39" s="57" t="e">
        <f>D39+#REF!</f>
        <v>#REF!</v>
      </c>
      <c r="F39" s="69"/>
      <c r="G39" s="58"/>
      <c r="H39" s="58"/>
      <c r="I39" s="40"/>
      <c r="J39" s="40"/>
    </row>
    <row r="40" spans="2:40" ht="16.5" hidden="1" customHeight="1" thickBot="1" x14ac:dyDescent="0.3">
      <c r="B40" s="59"/>
      <c r="C40" s="60" t="s">
        <v>120</v>
      </c>
      <c r="D40" s="56" t="e">
        <f>D39</f>
        <v>#REF!</v>
      </c>
      <c r="E40" s="88" t="e">
        <f>D40+#REF!</f>
        <v>#REF!</v>
      </c>
      <c r="F40" s="69"/>
      <c r="G40" s="58"/>
      <c r="H40" s="58"/>
      <c r="I40" s="40"/>
      <c r="J40" s="40"/>
    </row>
    <row r="41" spans="2:40" ht="15.75" hidden="1" customHeight="1" x14ac:dyDescent="0.25">
      <c r="B41" s="58"/>
      <c r="C41" s="70"/>
      <c r="D41" s="71"/>
      <c r="E41" s="72"/>
      <c r="F41" s="69"/>
      <c r="G41" s="58"/>
      <c r="H41" s="58"/>
      <c r="I41" s="40"/>
      <c r="J41" s="40"/>
    </row>
    <row r="42" spans="2:40" ht="252" hidden="1" customHeight="1" x14ac:dyDescent="0.25">
      <c r="B42" s="44"/>
      <c r="C42" s="62" t="s">
        <v>121</v>
      </c>
      <c r="D42" s="63" t="s">
        <v>97</v>
      </c>
      <c r="E42" s="45" t="s">
        <v>86</v>
      </c>
      <c r="F42" s="58"/>
      <c r="G42" s="58"/>
      <c r="H42" s="58"/>
      <c r="I42" s="40"/>
      <c r="J42" s="40"/>
    </row>
    <row r="43" spans="2:40" ht="299.25" hidden="1" customHeight="1" x14ac:dyDescent="0.25">
      <c r="B43" s="47" t="s">
        <v>87</v>
      </c>
      <c r="C43" s="48" t="s">
        <v>122</v>
      </c>
      <c r="D43" s="49" t="e">
        <f>ProjCost!#REF!</f>
        <v>#REF!</v>
      </c>
      <c r="E43" s="50" t="e">
        <f t="shared" ref="E43:E49" si="0">SUM(D43:D43)</f>
        <v>#REF!</v>
      </c>
      <c r="F43" s="58"/>
      <c r="G43" s="58"/>
      <c r="H43" s="58"/>
      <c r="I43" s="40"/>
      <c r="J43" s="40"/>
    </row>
    <row r="44" spans="2:40" ht="267.75" hidden="1" customHeight="1" x14ac:dyDescent="0.25">
      <c r="B44" s="47" t="s">
        <v>89</v>
      </c>
      <c r="C44" s="48" t="s">
        <v>123</v>
      </c>
      <c r="D44" s="51">
        <v>0</v>
      </c>
      <c r="E44" s="52">
        <f t="shared" si="0"/>
        <v>0</v>
      </c>
      <c r="F44" s="58"/>
      <c r="G44" s="58"/>
      <c r="H44" s="58"/>
      <c r="I44" s="40"/>
      <c r="J44" s="40"/>
    </row>
    <row r="45" spans="2:40" ht="252" hidden="1" customHeight="1" x14ac:dyDescent="0.25">
      <c r="B45" s="47" t="s">
        <v>91</v>
      </c>
      <c r="C45" s="48" t="s">
        <v>124</v>
      </c>
      <c r="D45" s="51">
        <v>0</v>
      </c>
      <c r="E45" s="52">
        <f t="shared" si="0"/>
        <v>0</v>
      </c>
      <c r="F45" s="58"/>
      <c r="G45" s="58"/>
      <c r="H45" s="58"/>
      <c r="I45" s="40"/>
      <c r="J45" s="40"/>
    </row>
    <row r="46" spans="2:40" ht="299.25" hidden="1" customHeight="1" x14ac:dyDescent="0.25">
      <c r="B46" s="47" t="s">
        <v>104</v>
      </c>
      <c r="C46" s="48" t="s">
        <v>125</v>
      </c>
      <c r="D46" s="51">
        <v>0</v>
      </c>
      <c r="E46" s="52">
        <f t="shared" si="0"/>
        <v>0</v>
      </c>
      <c r="F46" s="58"/>
      <c r="G46" s="58"/>
      <c r="H46" s="58"/>
      <c r="I46" s="40"/>
      <c r="J46" s="40"/>
    </row>
    <row r="47" spans="2:40" ht="299.25" hidden="1" customHeight="1" x14ac:dyDescent="0.25">
      <c r="B47" s="47" t="s">
        <v>106</v>
      </c>
      <c r="C47" s="48" t="s">
        <v>126</v>
      </c>
      <c r="D47" s="51" t="e">
        <f>ProjCost!#REF!</f>
        <v>#REF!</v>
      </c>
      <c r="E47" s="52" t="e">
        <f t="shared" si="0"/>
        <v>#REF!</v>
      </c>
      <c r="F47" s="58"/>
      <c r="G47" s="58"/>
      <c r="H47" s="58"/>
      <c r="I47" s="40"/>
      <c r="J47" s="40"/>
    </row>
    <row r="48" spans="2:40" ht="283.5" hidden="1" customHeight="1" x14ac:dyDescent="0.25">
      <c r="B48" s="47" t="s">
        <v>108</v>
      </c>
      <c r="C48" s="48" t="s">
        <v>127</v>
      </c>
      <c r="D48" s="89" t="e">
        <f>ProjCost!#REF!</f>
        <v>#REF!</v>
      </c>
      <c r="E48" s="90" t="e">
        <f t="shared" si="0"/>
        <v>#REF!</v>
      </c>
      <c r="F48" s="58"/>
      <c r="G48" s="58"/>
      <c r="H48" s="58"/>
      <c r="I48" s="40"/>
      <c r="J48" s="40"/>
    </row>
    <row r="49" spans="2:10" ht="16.5" hidden="1" customHeight="1" thickBot="1" x14ac:dyDescent="0.3">
      <c r="B49" s="91"/>
      <c r="C49" s="92" t="s">
        <v>128</v>
      </c>
      <c r="D49" s="56" t="e">
        <f>SUM(D43:D48)</f>
        <v>#REF!</v>
      </c>
      <c r="E49" s="88" t="e">
        <f t="shared" si="0"/>
        <v>#REF!</v>
      </c>
      <c r="F49" s="58"/>
      <c r="G49" s="58"/>
      <c r="H49" s="58"/>
      <c r="I49" s="40"/>
      <c r="J49" s="40"/>
    </row>
    <row r="50" spans="2:10" ht="15.75" customHeight="1" x14ac:dyDescent="0.25">
      <c r="B50" s="58"/>
      <c r="C50" s="58"/>
      <c r="D50" s="58"/>
      <c r="E50" s="58"/>
      <c r="F50" s="343"/>
      <c r="G50" s="58"/>
      <c r="H50" s="58"/>
      <c r="I50" s="40"/>
      <c r="J50" s="40"/>
    </row>
    <row r="51" spans="2:10" ht="15.75" customHeight="1" x14ac:dyDescent="0.25">
      <c r="B51" s="58"/>
      <c r="C51" s="58"/>
      <c r="D51" s="58"/>
      <c r="E51" s="58"/>
      <c r="F51" s="343"/>
      <c r="G51" s="58"/>
      <c r="H51" s="58"/>
      <c r="I51" s="40"/>
      <c r="J51" s="40"/>
    </row>
    <row r="52" spans="2:10" x14ac:dyDescent="0.2">
      <c r="B52" s="40"/>
      <c r="C52" s="40"/>
      <c r="D52" s="40"/>
      <c r="E52" s="40"/>
      <c r="F52" s="40"/>
      <c r="G52" s="40"/>
      <c r="H52" s="40"/>
      <c r="I52" s="40"/>
      <c r="J52" s="40"/>
    </row>
    <row r="53" spans="2:10" x14ac:dyDescent="0.2">
      <c r="B53" s="40"/>
      <c r="C53" s="40"/>
      <c r="D53" s="40"/>
      <c r="E53" s="40"/>
      <c r="F53" s="40"/>
      <c r="G53" s="40"/>
      <c r="H53" s="40"/>
      <c r="I53" s="40"/>
      <c r="J53" s="40"/>
    </row>
    <row r="54" spans="2:10" x14ac:dyDescent="0.2">
      <c r="B54" s="40"/>
      <c r="C54" s="40"/>
      <c r="D54" s="40"/>
      <c r="E54" s="40"/>
      <c r="F54" s="40"/>
      <c r="G54" s="40"/>
      <c r="H54" s="40"/>
      <c r="I54" s="40"/>
      <c r="J54" s="40"/>
    </row>
    <row r="55" spans="2:10" x14ac:dyDescent="0.2">
      <c r="B55" s="40"/>
      <c r="C55" s="40"/>
      <c r="D55" s="40"/>
      <c r="E55" s="40"/>
      <c r="F55" s="40"/>
      <c r="G55" s="40"/>
      <c r="H55" s="40"/>
      <c r="I55" s="40"/>
      <c r="J55" s="40"/>
    </row>
    <row r="56" spans="2:10" x14ac:dyDescent="0.2">
      <c r="B56" s="40"/>
      <c r="C56" s="40"/>
      <c r="D56" s="40"/>
      <c r="E56" s="40"/>
      <c r="F56" s="40"/>
      <c r="G56" s="40"/>
      <c r="H56" s="40"/>
      <c r="I56" s="40"/>
      <c r="J56" s="40"/>
    </row>
    <row r="57" spans="2:10" x14ac:dyDescent="0.2">
      <c r="B57" s="40"/>
      <c r="C57" s="40"/>
      <c r="D57" s="40"/>
      <c r="E57" s="40"/>
      <c r="F57" s="40"/>
      <c r="G57" s="40"/>
      <c r="H57" s="40"/>
      <c r="I57" s="40"/>
      <c r="J57" s="40"/>
    </row>
    <row r="58" spans="2:10" x14ac:dyDescent="0.2">
      <c r="B58" s="40"/>
      <c r="C58" s="40"/>
      <c r="D58" s="40"/>
      <c r="E58" s="40"/>
      <c r="F58" s="40"/>
      <c r="G58" s="40"/>
      <c r="H58" s="40"/>
      <c r="I58" s="40"/>
      <c r="J58" s="40"/>
    </row>
    <row r="59" spans="2:10" x14ac:dyDescent="0.2">
      <c r="B59" s="40"/>
      <c r="C59" s="40"/>
      <c r="D59" s="40"/>
      <c r="E59" s="40"/>
      <c r="F59" s="40"/>
      <c r="G59" s="40"/>
      <c r="H59" s="40"/>
      <c r="I59" s="40"/>
      <c r="J59" s="40"/>
    </row>
    <row r="60" spans="2:10" x14ac:dyDescent="0.2">
      <c r="B60" s="40"/>
      <c r="C60" s="40"/>
      <c r="D60" s="40"/>
      <c r="E60" s="40"/>
      <c r="F60" s="40"/>
      <c r="G60" s="40"/>
      <c r="H60" s="40"/>
      <c r="I60" s="40"/>
      <c r="J60" s="40"/>
    </row>
    <row r="61" spans="2:10" x14ac:dyDescent="0.2">
      <c r="B61" s="40"/>
      <c r="C61" s="40"/>
      <c r="D61" s="40"/>
      <c r="E61" s="40"/>
      <c r="F61" s="40"/>
      <c r="G61" s="40"/>
      <c r="H61" s="40"/>
      <c r="I61" s="40"/>
      <c r="J61" s="40"/>
    </row>
    <row r="62" spans="2:10" x14ac:dyDescent="0.2">
      <c r="B62" s="40"/>
      <c r="C62" s="40"/>
      <c r="D62" s="40"/>
      <c r="E62" s="40"/>
      <c r="F62" s="40"/>
      <c r="G62" s="40"/>
      <c r="H62" s="40"/>
      <c r="I62" s="40"/>
      <c r="J62" s="40"/>
    </row>
    <row r="63" spans="2:10" x14ac:dyDescent="0.2">
      <c r="B63" s="40"/>
      <c r="C63" s="40"/>
      <c r="D63" s="40"/>
      <c r="E63" s="40"/>
      <c r="F63" s="40"/>
      <c r="G63" s="40"/>
      <c r="H63" s="40"/>
      <c r="I63" s="40"/>
      <c r="J63" s="40"/>
    </row>
    <row r="64" spans="2:10" x14ac:dyDescent="0.2">
      <c r="B64" s="40"/>
      <c r="C64" s="40"/>
      <c r="D64" s="40"/>
      <c r="E64" s="40"/>
      <c r="F64" s="40"/>
      <c r="G64" s="40"/>
      <c r="H64" s="40"/>
      <c r="I64" s="40"/>
      <c r="J64" s="40"/>
    </row>
    <row r="65" spans="2:10" x14ac:dyDescent="0.2">
      <c r="B65" s="40"/>
      <c r="C65" s="40"/>
      <c r="D65" s="40"/>
      <c r="E65" s="40"/>
      <c r="F65" s="40"/>
      <c r="G65" s="40"/>
      <c r="H65" s="40"/>
      <c r="I65" s="40"/>
      <c r="J65" s="40"/>
    </row>
    <row r="66" spans="2:10" x14ac:dyDescent="0.2">
      <c r="B66" s="40"/>
      <c r="C66" s="40"/>
      <c r="D66" s="40"/>
      <c r="E66" s="40"/>
      <c r="F66" s="40"/>
      <c r="G66" s="40"/>
      <c r="H66" s="40"/>
      <c r="I66" s="40"/>
      <c r="J66" s="40"/>
    </row>
    <row r="67" spans="2:10" x14ac:dyDescent="0.2">
      <c r="B67" s="40"/>
      <c r="C67" s="40"/>
      <c r="D67" s="40"/>
      <c r="E67" s="40"/>
      <c r="F67" s="40"/>
      <c r="G67" s="40"/>
      <c r="H67" s="40"/>
      <c r="I67" s="40"/>
      <c r="J67" s="40"/>
    </row>
    <row r="68" spans="2:10" x14ac:dyDescent="0.2">
      <c r="B68" s="40"/>
      <c r="C68" s="40"/>
      <c r="D68" s="40"/>
      <c r="E68" s="40"/>
      <c r="F68" s="40"/>
      <c r="G68" s="40"/>
      <c r="H68" s="40"/>
      <c r="I68" s="40"/>
      <c r="J68" s="40"/>
    </row>
    <row r="69" spans="2:10" x14ac:dyDescent="0.2">
      <c r="B69" s="40"/>
      <c r="C69" s="40"/>
      <c r="D69" s="40"/>
      <c r="E69" s="40"/>
      <c r="F69" s="40"/>
      <c r="G69" s="40"/>
      <c r="H69" s="40"/>
      <c r="I69" s="40"/>
      <c r="J69" s="40"/>
    </row>
    <row r="70" spans="2:10" x14ac:dyDescent="0.2">
      <c r="B70" s="40"/>
      <c r="C70" s="40"/>
      <c r="D70" s="40"/>
      <c r="E70" s="40"/>
      <c r="F70" s="40"/>
      <c r="G70" s="40"/>
      <c r="H70" s="40"/>
      <c r="I70" s="40"/>
      <c r="J70" s="40"/>
    </row>
    <row r="71" spans="2:10" x14ac:dyDescent="0.2">
      <c r="B71" s="40"/>
      <c r="C71" s="40"/>
      <c r="D71" s="40"/>
      <c r="E71" s="40"/>
      <c r="F71" s="40"/>
      <c r="G71" s="40"/>
      <c r="H71" s="40"/>
      <c r="I71" s="40"/>
      <c r="J71" s="40"/>
    </row>
    <row r="72" spans="2:10" x14ac:dyDescent="0.2">
      <c r="B72" s="40"/>
      <c r="C72" s="40"/>
      <c r="D72" s="40"/>
      <c r="E72" s="40"/>
      <c r="F72" s="40"/>
      <c r="G72" s="40"/>
      <c r="H72" s="40"/>
      <c r="I72" s="40"/>
      <c r="J72" s="40"/>
    </row>
  </sheetData>
  <mergeCells count="1">
    <mergeCell ref="B1:C1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IV22"/>
  <sheetViews>
    <sheetView showGridLines="0" view="pageBreakPreview" zoomScale="75" zoomScaleNormal="75" zoomScaleSheetLayoutView="75" workbookViewId="0">
      <selection activeCell="F14" sqref="F14"/>
    </sheetView>
  </sheetViews>
  <sheetFormatPr defaultRowHeight="15.75" x14ac:dyDescent="0.25"/>
  <cols>
    <col min="2" max="2" width="46.375" style="513" customWidth="1"/>
    <col min="3" max="3" width="18.125" style="513" customWidth="1"/>
    <col min="4" max="4" width="11.875" style="513" hidden="1" customWidth="1"/>
    <col min="5" max="5" width="0.125" style="513" customWidth="1"/>
    <col min="6" max="6" width="18.625" style="513" customWidth="1"/>
    <col min="7" max="7" width="22.5" style="513" customWidth="1"/>
    <col min="9" max="9" width="16" style="513" customWidth="1"/>
  </cols>
  <sheetData>
    <row r="1" spans="1:256" x14ac:dyDescent="0.25">
      <c r="A1" s="344"/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</row>
    <row r="2" spans="1:256" s="39" customFormat="1" ht="26.25" customHeight="1" x14ac:dyDescent="0.25">
      <c r="B2" s="113" t="s">
        <v>129</v>
      </c>
      <c r="C2" s="37"/>
      <c r="D2" s="37"/>
      <c r="E2" s="38"/>
      <c r="F2" s="38"/>
      <c r="G2" s="38" t="s">
        <v>130</v>
      </c>
      <c r="H2" s="345"/>
    </row>
    <row r="3" spans="1:256" s="39" customFormat="1" ht="57.6" customHeight="1" x14ac:dyDescent="0.25">
      <c r="B3" s="254" t="s">
        <v>131</v>
      </c>
      <c r="C3" s="255" t="s">
        <v>79</v>
      </c>
      <c r="D3" s="255" t="s">
        <v>132</v>
      </c>
      <c r="E3" s="255" t="s">
        <v>133</v>
      </c>
      <c r="F3" s="255" t="str">
        <f>ProjCost!E3</f>
        <v>BANK KREDITI, so'm</v>
      </c>
      <c r="G3" s="255" t="s">
        <v>133</v>
      </c>
      <c r="H3" s="345"/>
    </row>
    <row r="4" spans="1:256" s="39" customFormat="1" ht="36.75" customHeight="1" x14ac:dyDescent="0.25">
      <c r="B4" s="253" t="str">
        <f>ProjCost!B4</f>
        <v>Asosiy vositalarni sotib olish (mebel jihozlari)</v>
      </c>
      <c r="C4" s="463">
        <v>0</v>
      </c>
      <c r="D4" s="219"/>
      <c r="E4" s="219">
        <v>0</v>
      </c>
      <c r="F4" s="463" t="str">
        <f>ProjCost!E4</f>
        <v>100000000</v>
      </c>
      <c r="G4" s="219" t="str">
        <f>F4</f>
        <v>100000000</v>
      </c>
      <c r="H4" s="345"/>
      <c r="I4" s="156"/>
    </row>
    <row r="5" spans="1:256" s="39" customFormat="1" ht="24.75" customHeight="1" x14ac:dyDescent="0.25">
      <c r="B5" s="218" t="s">
        <v>66</v>
      </c>
      <c r="C5" s="463" t="str">
        <f>ProjCost!D5</f>
        <v>50000000</v>
      </c>
      <c r="D5" s="219"/>
      <c r="E5" s="219"/>
      <c r="F5" s="463">
        <v>0</v>
      </c>
      <c r="G5" s="219" t="str">
        <f>C5</f>
        <v>50000000</v>
      </c>
      <c r="H5" s="345"/>
      <c r="I5" s="156"/>
    </row>
    <row r="6" spans="1:256" s="39" customFormat="1" ht="18.600000000000001" customHeight="1" x14ac:dyDescent="0.25">
      <c r="B6" s="220" t="s">
        <v>134</v>
      </c>
      <c r="C6" s="464">
        <f>C4+C5</f>
        <v>50000000</v>
      </c>
      <c r="D6" s="121"/>
      <c r="E6" s="121" t="e">
        <f>#REF!+#REF!+E4</f>
        <v>#REF!</v>
      </c>
      <c r="F6" s="464" t="str">
        <f>F4</f>
        <v>100000000</v>
      </c>
      <c r="G6" s="121">
        <f>G4+G5</f>
        <v>150000000</v>
      </c>
      <c r="H6" s="346"/>
      <c r="I6" s="155"/>
    </row>
    <row r="7" spans="1:256" s="39" customFormat="1" ht="19.149999999999999" customHeight="1" x14ac:dyDescent="0.25">
      <c r="B7" s="221" t="s">
        <v>68</v>
      </c>
      <c r="C7" s="465">
        <f>C8+C9</f>
        <v>0</v>
      </c>
      <c r="D7" s="128"/>
      <c r="E7" s="128">
        <f>E8+E9</f>
        <v>0</v>
      </c>
      <c r="F7" s="465">
        <v>0</v>
      </c>
      <c r="G7" s="128">
        <f>G8+G9</f>
        <v>0</v>
      </c>
      <c r="H7" s="346"/>
    </row>
    <row r="8" spans="1:256" s="39" customFormat="1" ht="15" customHeight="1" x14ac:dyDescent="0.25">
      <c r="B8" s="221" t="s">
        <v>68</v>
      </c>
      <c r="C8" s="463">
        <v>0</v>
      </c>
      <c r="D8" s="219"/>
      <c r="E8" s="219">
        <v>0</v>
      </c>
      <c r="F8" s="463">
        <v>0</v>
      </c>
      <c r="G8" s="219">
        <f>C8+E8</f>
        <v>0</v>
      </c>
      <c r="H8" s="346"/>
    </row>
    <row r="9" spans="1:256" s="39" customFormat="1" ht="15" customHeight="1" x14ac:dyDescent="0.25">
      <c r="B9" s="222"/>
      <c r="C9" s="466"/>
      <c r="D9" s="223"/>
      <c r="E9" s="223"/>
      <c r="F9" s="466"/>
      <c r="G9" s="224"/>
      <c r="H9" s="346"/>
    </row>
    <row r="10" spans="1:256" s="39" customFormat="1" ht="16.5" customHeight="1" x14ac:dyDescent="0.25">
      <c r="B10" s="256" t="s">
        <v>69</v>
      </c>
      <c r="C10" s="467">
        <f>SUM(C11:C12)</f>
        <v>2000000</v>
      </c>
      <c r="D10" s="154"/>
      <c r="E10" s="154">
        <f>SUM(E12:E12)</f>
        <v>0</v>
      </c>
      <c r="F10" s="467">
        <v>0</v>
      </c>
      <c r="G10" s="154">
        <f>E10+C10</f>
        <v>2000000</v>
      </c>
      <c r="H10" s="346"/>
    </row>
    <row r="11" spans="1:256" s="39" customFormat="1" ht="16.5" customHeight="1" x14ac:dyDescent="0.25">
      <c r="B11" s="218" t="s">
        <v>70</v>
      </c>
      <c r="C11" s="468">
        <v>0</v>
      </c>
      <c r="D11" s="225"/>
      <c r="E11" s="225">
        <v>0</v>
      </c>
      <c r="F11" s="468">
        <v>0</v>
      </c>
      <c r="G11" s="225">
        <f>C11+E11</f>
        <v>0</v>
      </c>
      <c r="H11" s="346"/>
    </row>
    <row r="12" spans="1:256" s="39" customFormat="1" ht="16.5" customHeight="1" x14ac:dyDescent="0.25">
      <c r="B12" s="218" t="s">
        <v>71</v>
      </c>
      <c r="C12" s="468">
        <f>(F13+F14)*1%</f>
        <v>2000000</v>
      </c>
      <c r="D12" s="225"/>
      <c r="E12" s="225">
        <v>0</v>
      </c>
      <c r="F12" s="468">
        <v>0</v>
      </c>
      <c r="G12" s="225">
        <f>C12+E12</f>
        <v>2000000</v>
      </c>
      <c r="H12" s="346"/>
    </row>
    <row r="13" spans="1:256" s="39" customFormat="1" ht="19.5" customHeight="1" x14ac:dyDescent="0.25">
      <c r="B13" s="226" t="s">
        <v>135</v>
      </c>
      <c r="C13" s="464">
        <f>C7+C6+C10</f>
        <v>52000000</v>
      </c>
      <c r="D13" s="121"/>
      <c r="E13" s="121" t="e">
        <f>E6+E7</f>
        <v>#REF!</v>
      </c>
      <c r="F13" s="464" t="str">
        <f>+F6</f>
        <v>100000000</v>
      </c>
      <c r="G13" s="121">
        <f>G7+G6+G10</f>
        <v>152000000</v>
      </c>
      <c r="H13" s="346"/>
    </row>
    <row r="14" spans="1:256" s="39" customFormat="1" ht="30.75" customHeight="1" x14ac:dyDescent="0.25">
      <c r="B14" s="257" t="s">
        <v>136</v>
      </c>
      <c r="C14" s="469">
        <f>C13</f>
        <v>52000000</v>
      </c>
      <c r="D14" s="227"/>
      <c r="E14" s="227" t="e">
        <f>E13</f>
        <v>#REF!</v>
      </c>
      <c r="F14" s="469" t="str">
        <f>F13</f>
        <v>100000000</v>
      </c>
      <c r="G14" s="227">
        <f>G13</f>
        <v>152000000</v>
      </c>
      <c r="H14" s="346"/>
    </row>
    <row r="15" spans="1:256" s="39" customFormat="1" ht="45" hidden="1" customHeight="1" thickTop="1" x14ac:dyDescent="0.25">
      <c r="C15" s="347"/>
      <c r="D15" s="347"/>
      <c r="G15" s="348"/>
      <c r="H15" s="346"/>
    </row>
    <row r="16" spans="1:256" x14ac:dyDescent="0.25">
      <c r="C16" s="124"/>
      <c r="D16" s="124"/>
      <c r="G16" s="124"/>
    </row>
    <row r="17" spans="2:7" x14ac:dyDescent="0.25">
      <c r="C17" s="349"/>
      <c r="D17" s="349"/>
      <c r="F17" s="124"/>
    </row>
    <row r="18" spans="2:7" x14ac:dyDescent="0.25">
      <c r="G18" s="124"/>
    </row>
    <row r="19" spans="2:7" x14ac:dyDescent="0.25">
      <c r="B19" s="189"/>
      <c r="C19" s="350"/>
      <c r="D19" s="350"/>
    </row>
    <row r="20" spans="2:7" x14ac:dyDescent="0.25">
      <c r="C20" s="350"/>
      <c r="D20" s="350"/>
    </row>
    <row r="22" spans="2:7" x14ac:dyDescent="0.25">
      <c r="C22" s="350"/>
      <c r="D22" s="350"/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B1:L9"/>
  <sheetViews>
    <sheetView showGridLines="0" view="pageBreakPreview" zoomScale="84" zoomScaleNormal="75" zoomScaleSheetLayoutView="84" workbookViewId="0">
      <selection activeCell="C7" sqref="C7"/>
    </sheetView>
  </sheetViews>
  <sheetFormatPr defaultRowHeight="15.75" x14ac:dyDescent="0.25"/>
  <cols>
    <col min="2" max="2" width="19" style="511" customWidth="1"/>
    <col min="3" max="3" width="18.625" style="511" customWidth="1"/>
    <col min="4" max="4" width="12.875" style="511" customWidth="1"/>
    <col min="5" max="5" width="13.625" style="511" customWidth="1"/>
    <col min="6" max="6" width="12.625" style="511" customWidth="1"/>
    <col min="7" max="7" width="12.75" style="511" customWidth="1"/>
    <col min="8" max="8" width="13.875" style="511" customWidth="1"/>
    <col min="9" max="9" width="14" style="511" customWidth="1"/>
    <col min="10" max="10" width="14.75" style="513" customWidth="1"/>
    <col min="11" max="11" width="13.875" style="513" customWidth="1"/>
    <col min="12" max="12" width="20.875" style="513" customWidth="1"/>
  </cols>
  <sheetData>
    <row r="1" spans="2:11" x14ac:dyDescent="0.25">
      <c r="B1" s="3"/>
      <c r="C1" s="3"/>
    </row>
    <row r="2" spans="2:11" ht="20.25" customHeight="1" x14ac:dyDescent="0.3">
      <c r="B2" s="275"/>
      <c r="C2" s="275"/>
      <c r="D2" s="275"/>
      <c r="E2" s="275"/>
      <c r="F2" s="275"/>
      <c r="G2" s="276"/>
      <c r="H2" s="299"/>
      <c r="I2" s="299" t="s">
        <v>137</v>
      </c>
    </row>
    <row r="3" spans="2:11" ht="29.45" customHeight="1" x14ac:dyDescent="0.25">
      <c r="B3" s="278" t="s">
        <v>138</v>
      </c>
      <c r="C3" s="279"/>
      <c r="D3" s="279"/>
      <c r="E3" s="279"/>
      <c r="F3" s="279"/>
      <c r="G3" s="279"/>
      <c r="H3" s="279"/>
      <c r="I3" s="279"/>
      <c r="J3" s="279"/>
      <c r="K3" s="279"/>
    </row>
    <row r="4" spans="2:11" ht="25.5" customHeight="1" x14ac:dyDescent="0.25">
      <c r="B4" s="326" t="s">
        <v>139</v>
      </c>
      <c r="C4" s="277" t="s">
        <v>140</v>
      </c>
      <c r="D4" s="277" t="s">
        <v>141</v>
      </c>
      <c r="E4" s="277" t="s">
        <v>142</v>
      </c>
      <c r="F4" s="277" t="s">
        <v>143</v>
      </c>
      <c r="G4" s="277" t="s">
        <v>144</v>
      </c>
      <c r="H4" s="277" t="s">
        <v>145</v>
      </c>
      <c r="I4" s="277" t="s">
        <v>146</v>
      </c>
      <c r="J4" s="277" t="s">
        <v>147</v>
      </c>
      <c r="K4" s="277" t="s">
        <v>148</v>
      </c>
    </row>
    <row r="5" spans="2:11" ht="90.75" customHeight="1" x14ac:dyDescent="0.25">
      <c r="B5" s="280" t="str">
        <f>'Share of Costs'!B5</f>
        <v>Asosiy vositalar</v>
      </c>
      <c r="C5" s="351">
        <f>+'Share of Costs'!G14</f>
        <v>152000000</v>
      </c>
      <c r="D5" s="352">
        <v>0.15</v>
      </c>
      <c r="E5" s="351">
        <f>+C5/7</f>
        <v>21714285.714285713</v>
      </c>
      <c r="F5" s="351">
        <f>+C5/7</f>
        <v>21714285.714285713</v>
      </c>
      <c r="G5" s="351">
        <f>+C5/7</f>
        <v>21714285.714285713</v>
      </c>
      <c r="H5" s="351">
        <f>+C5/7</f>
        <v>21714285.714285713</v>
      </c>
      <c r="I5" s="351">
        <f>C5/7</f>
        <v>21714285.714285713</v>
      </c>
      <c r="J5" s="351">
        <f>+C5/7</f>
        <v>21714285.714285713</v>
      </c>
      <c r="K5" s="351">
        <f>+C5/7</f>
        <v>21714285.714285713</v>
      </c>
    </row>
    <row r="6" spans="2:11" ht="33" hidden="1" customHeight="1" x14ac:dyDescent="0.25">
      <c r="B6" s="280" t="e">
        <f>'Share of Costs'!#REF!</f>
        <v>#REF!</v>
      </c>
      <c r="C6" s="351" t="e">
        <f>'Share of Costs'!#REF!</f>
        <v>#REF!</v>
      </c>
      <c r="D6" s="352">
        <v>0.15</v>
      </c>
      <c r="E6" s="351" t="e">
        <f>C6*D6</f>
        <v>#REF!</v>
      </c>
      <c r="F6" s="351" t="e">
        <f t="shared" ref="F6:K6" si="0">E6</f>
        <v>#REF!</v>
      </c>
      <c r="G6" s="351" t="e">
        <f t="shared" si="0"/>
        <v>#REF!</v>
      </c>
      <c r="H6" s="351" t="e">
        <f t="shared" si="0"/>
        <v>#REF!</v>
      </c>
      <c r="I6" s="351" t="e">
        <f t="shared" si="0"/>
        <v>#REF!</v>
      </c>
      <c r="J6" s="351" t="e">
        <f t="shared" si="0"/>
        <v>#REF!</v>
      </c>
      <c r="K6" s="351" t="e">
        <f t="shared" si="0"/>
        <v>#REF!</v>
      </c>
    </row>
    <row r="7" spans="2:11" s="11" customFormat="1" ht="27" customHeight="1" x14ac:dyDescent="0.25">
      <c r="B7" s="277" t="s">
        <v>149</v>
      </c>
      <c r="C7" s="353" t="s">
        <v>150</v>
      </c>
      <c r="D7" s="354" t="s">
        <v>150</v>
      </c>
      <c r="E7" s="355">
        <f t="shared" ref="E7:K7" si="1">E5</f>
        <v>21714285.714285713</v>
      </c>
      <c r="F7" s="355">
        <f t="shared" si="1"/>
        <v>21714285.714285713</v>
      </c>
      <c r="G7" s="355">
        <f t="shared" si="1"/>
        <v>21714285.714285713</v>
      </c>
      <c r="H7" s="355">
        <f t="shared" si="1"/>
        <v>21714285.714285713</v>
      </c>
      <c r="I7" s="355">
        <f t="shared" si="1"/>
        <v>21714285.714285713</v>
      </c>
      <c r="J7" s="355">
        <f t="shared" si="1"/>
        <v>21714285.714285713</v>
      </c>
      <c r="K7" s="355">
        <f t="shared" si="1"/>
        <v>21714285.714285713</v>
      </c>
    </row>
    <row r="8" spans="2:11" s="11" customFormat="1" ht="30" customHeight="1" x14ac:dyDescent="0.25">
      <c r="B8" s="277" t="s">
        <v>151</v>
      </c>
      <c r="C8" s="353" t="s">
        <v>150</v>
      </c>
      <c r="D8" s="354" t="s">
        <v>150</v>
      </c>
      <c r="E8" s="355">
        <f>E7</f>
        <v>21714285.714285713</v>
      </c>
      <c r="F8" s="355">
        <f t="shared" ref="F8:K8" si="2">F7+E8</f>
        <v>43428571.428571425</v>
      </c>
      <c r="G8" s="355">
        <f t="shared" si="2"/>
        <v>65142857.142857134</v>
      </c>
      <c r="H8" s="355">
        <f t="shared" si="2"/>
        <v>86857142.857142851</v>
      </c>
      <c r="I8" s="355">
        <f t="shared" si="2"/>
        <v>108571428.57142857</v>
      </c>
      <c r="J8" s="355">
        <f t="shared" si="2"/>
        <v>130285714.28571428</v>
      </c>
      <c r="K8" s="355">
        <f t="shared" si="2"/>
        <v>152000000</v>
      </c>
    </row>
    <row r="9" spans="2:11" x14ac:dyDescent="0.25">
      <c r="J9" s="511"/>
      <c r="K9" s="511"/>
    </row>
  </sheetData>
  <printOptions horizontalCentered="1" verticalCentered="1"/>
  <pageMargins left="0.23622047244094491" right="0.23622047244094491" top="0.59055118110236227" bottom="0.74803149606299213" header="0.31496062992125978" footer="0.31496062992125978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T34"/>
  <sheetViews>
    <sheetView showGridLines="0" view="pageBreakPreview" zoomScale="84" zoomScaleNormal="115" zoomScaleSheetLayoutView="84" workbookViewId="0">
      <selection activeCell="C19" sqref="C19"/>
    </sheetView>
  </sheetViews>
  <sheetFormatPr defaultRowHeight="15.75" x14ac:dyDescent="0.25"/>
  <cols>
    <col min="1" max="1" width="4.25" style="513" customWidth="1"/>
    <col min="2" max="2" width="22.25" style="511" customWidth="1"/>
    <col min="3" max="3" width="11.875" style="511" customWidth="1"/>
    <col min="4" max="4" width="13.375" style="511" customWidth="1"/>
    <col min="5" max="5" width="13.5" style="511" customWidth="1"/>
    <col min="6" max="6" width="20.25" style="511" customWidth="1"/>
    <col min="7" max="20" width="9" style="511" customWidth="1"/>
  </cols>
  <sheetData>
    <row r="1" spans="2:20" x14ac:dyDescent="0.25">
      <c r="B1" s="3"/>
      <c r="C1" s="3"/>
      <c r="D1" s="3"/>
    </row>
    <row r="2" spans="2:20" x14ac:dyDescent="0.25">
      <c r="E2" s="23"/>
      <c r="F2" s="268" t="s">
        <v>152</v>
      </c>
    </row>
    <row r="3" spans="2:20" ht="20.25" customHeight="1" x14ac:dyDescent="0.25">
      <c r="B3" s="524" t="s">
        <v>153</v>
      </c>
      <c r="C3" s="522"/>
      <c r="D3" s="522"/>
      <c r="E3" s="522"/>
      <c r="F3" s="523"/>
    </row>
    <row r="4" spans="2:20" ht="54.6" customHeight="1" x14ac:dyDescent="0.25">
      <c r="B4" s="508" t="s">
        <v>154</v>
      </c>
      <c r="C4" s="508" t="s">
        <v>155</v>
      </c>
      <c r="D4" s="508" t="s">
        <v>156</v>
      </c>
      <c r="E4" s="508" t="s">
        <v>157</v>
      </c>
      <c r="F4" s="281" t="s">
        <v>158</v>
      </c>
    </row>
    <row r="5" spans="2:20" x14ac:dyDescent="0.25">
      <c r="B5" s="258" t="s">
        <v>159</v>
      </c>
      <c r="C5" s="508"/>
      <c r="D5" s="508"/>
      <c r="E5" s="508"/>
      <c r="F5" s="281"/>
    </row>
    <row r="6" spans="2:20" x14ac:dyDescent="0.25">
      <c r="B6" s="285" t="s">
        <v>41</v>
      </c>
      <c r="C6" s="258" t="str">
        <f>+ВВОД!B65</f>
        <v>1</v>
      </c>
      <c r="D6" s="356" t="str">
        <f>+ВВОД!B74</f>
        <v>1200000</v>
      </c>
      <c r="E6" s="356">
        <f>C6*D6</f>
        <v>1200000</v>
      </c>
      <c r="F6" s="356">
        <f>E6*12</f>
        <v>14400000</v>
      </c>
    </row>
    <row r="7" spans="2:20" x14ac:dyDescent="0.25">
      <c r="B7" s="508" t="s">
        <v>160</v>
      </c>
      <c r="C7" s="508" t="str">
        <f>+C6</f>
        <v>1</v>
      </c>
      <c r="D7" s="195"/>
      <c r="E7" s="357">
        <f>SUM(E6:E6)</f>
        <v>1200000</v>
      </c>
      <c r="F7" s="357">
        <f>SUM(F6:F6)</f>
        <v>14400000</v>
      </c>
    </row>
    <row r="8" spans="2:20" s="11" customFormat="1" x14ac:dyDescent="0.25">
      <c r="B8" s="282" t="s">
        <v>161</v>
      </c>
      <c r="C8" s="288">
        <v>0.12</v>
      </c>
      <c r="D8" s="283" t="s">
        <v>162</v>
      </c>
      <c r="E8" s="356"/>
      <c r="F8" s="357">
        <f>F7*C8</f>
        <v>1728000</v>
      </c>
      <c r="G8" s="2"/>
      <c r="H8" s="283"/>
      <c r="I8" s="511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2:20" s="11" customFormat="1" x14ac:dyDescent="0.25">
      <c r="B9" s="508" t="s">
        <v>160</v>
      </c>
      <c r="C9" s="288" t="str">
        <f>+C6</f>
        <v>1</v>
      </c>
      <c r="D9" s="284"/>
      <c r="E9" s="357"/>
      <c r="F9" s="357">
        <f>F7+F8</f>
        <v>16128000</v>
      </c>
      <c r="G9" s="2"/>
      <c r="H9" s="2"/>
      <c r="I9" s="511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2:20" s="11" customFormat="1" x14ac:dyDescent="0.25">
      <c r="B10" s="508"/>
      <c r="C10" s="288"/>
      <c r="D10" s="284"/>
      <c r="E10" s="357"/>
      <c r="F10" s="357"/>
      <c r="G10" s="2"/>
      <c r="H10" s="2"/>
      <c r="I10" s="5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2:20" s="11" customFormat="1" ht="28.5" customHeight="1" x14ac:dyDescent="0.25">
      <c r="B11" s="508" t="s">
        <v>163</v>
      </c>
      <c r="C11" s="508" t="s">
        <v>155</v>
      </c>
      <c r="D11" s="508" t="s">
        <v>156</v>
      </c>
      <c r="E11" s="508" t="s">
        <v>157</v>
      </c>
      <c r="F11" s="281" t="s">
        <v>158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2:20" x14ac:dyDescent="0.25">
      <c r="B12" s="285" t="s">
        <v>164</v>
      </c>
      <c r="C12" s="258" t="str">
        <f>+ВВОД!B67</f>
        <v>2</v>
      </c>
      <c r="D12" s="356" t="str">
        <f>+ВВОД!B72</f>
        <v>1500000</v>
      </c>
      <c r="E12" s="356">
        <f>+C12*D12</f>
        <v>3000000</v>
      </c>
      <c r="F12" s="356">
        <f>+E12*12</f>
        <v>36000000</v>
      </c>
    </row>
    <row r="13" spans="2:20" x14ac:dyDescent="0.25">
      <c r="B13" s="508" t="s">
        <v>160</v>
      </c>
      <c r="C13" s="508" t="str">
        <f>+C12</f>
        <v>2</v>
      </c>
      <c r="D13" s="357"/>
      <c r="E13" s="357">
        <v>3600000</v>
      </c>
      <c r="F13" s="357">
        <f>SUM(F12)</f>
        <v>36000000</v>
      </c>
    </row>
    <row r="14" spans="2:20" x14ac:dyDescent="0.25">
      <c r="B14" s="282" t="s">
        <v>161</v>
      </c>
      <c r="C14" s="288">
        <v>0.12</v>
      </c>
      <c r="D14" s="283" t="s">
        <v>162</v>
      </c>
      <c r="E14" s="356"/>
      <c r="F14" s="357">
        <f>+F13*C14</f>
        <v>4320000</v>
      </c>
    </row>
    <row r="15" spans="2:20" x14ac:dyDescent="0.25">
      <c r="B15" s="508" t="s">
        <v>160</v>
      </c>
      <c r="C15" s="508" t="str">
        <f>+C12</f>
        <v>2</v>
      </c>
      <c r="D15" s="356"/>
      <c r="E15" s="356"/>
      <c r="F15" s="357">
        <f>+F13+F14</f>
        <v>40320000</v>
      </c>
    </row>
    <row r="16" spans="2:20" x14ac:dyDescent="0.25">
      <c r="B16" s="521" t="s">
        <v>165</v>
      </c>
      <c r="C16" s="522"/>
      <c r="D16" s="522"/>
      <c r="E16" s="522"/>
      <c r="F16" s="523"/>
    </row>
    <row r="17" spans="2:20" x14ac:dyDescent="0.25">
      <c r="B17" s="285" t="s">
        <v>166</v>
      </c>
      <c r="C17" s="258" t="str">
        <f>+ВВОД!B69</f>
        <v>4</v>
      </c>
      <c r="D17" s="356" t="str">
        <f>+ВВОД!B76</f>
        <v>1500000</v>
      </c>
      <c r="E17" s="356">
        <f>+C17*D17</f>
        <v>6000000</v>
      </c>
      <c r="F17" s="356">
        <f>+E17*12</f>
        <v>72000000</v>
      </c>
    </row>
    <row r="18" spans="2:20" s="11" customFormat="1" x14ac:dyDescent="0.25">
      <c r="B18" s="508" t="s">
        <v>160</v>
      </c>
      <c r="C18" s="508" t="str">
        <f>+C17</f>
        <v>4</v>
      </c>
      <c r="D18" s="195"/>
      <c r="E18" s="357">
        <f>SUM(E17)</f>
        <v>6000000</v>
      </c>
      <c r="F18" s="357">
        <f>SUM(F17)</f>
        <v>72000000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0" s="11" customFormat="1" x14ac:dyDescent="0.25">
      <c r="B19" s="282" t="s">
        <v>161</v>
      </c>
      <c r="C19" s="288">
        <v>0.12</v>
      </c>
      <c r="D19" s="286" t="s">
        <v>162</v>
      </c>
      <c r="E19" s="358"/>
      <c r="F19" s="357">
        <f>+F18*12%</f>
        <v>8640000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20" s="11" customFormat="1" x14ac:dyDescent="0.25">
      <c r="B20" s="508" t="s">
        <v>160</v>
      </c>
      <c r="C20" s="288" t="str">
        <f>+C17</f>
        <v>4</v>
      </c>
      <c r="D20" s="284"/>
      <c r="E20" s="359"/>
      <c r="F20" s="357">
        <f>+F18+F19</f>
        <v>80640000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2:20" x14ac:dyDescent="0.25">
      <c r="B21" s="287" t="s">
        <v>160</v>
      </c>
      <c r="C21" s="508">
        <f>+C9+C13+C18</f>
        <v>7</v>
      </c>
      <c r="D21" s="287"/>
      <c r="E21" s="357"/>
      <c r="F21" s="357">
        <f>+F9+F15+F20</f>
        <v>137088000</v>
      </c>
    </row>
    <row r="23" spans="2:20" ht="18.75" customHeight="1" x14ac:dyDescent="0.3">
      <c r="B23" s="22" t="s">
        <v>167</v>
      </c>
      <c r="C23" s="36"/>
      <c r="D23" s="36"/>
      <c r="E23" s="36"/>
      <c r="F23" s="36"/>
    </row>
    <row r="24" spans="2:20" ht="20.25" customHeight="1" thickBot="1" x14ac:dyDescent="0.3"/>
    <row r="25" spans="2:20" ht="46.15" customHeight="1" thickTop="1" x14ac:dyDescent="0.25">
      <c r="B25" s="515" t="s">
        <v>168</v>
      </c>
      <c r="C25" s="514" t="s">
        <v>169</v>
      </c>
      <c r="D25" s="514" t="s">
        <v>170</v>
      </c>
      <c r="E25" s="514" t="s">
        <v>171</v>
      </c>
      <c r="F25" s="116" t="s">
        <v>172</v>
      </c>
    </row>
    <row r="26" spans="2:20" x14ac:dyDescent="0.25">
      <c r="B26" s="270" t="s">
        <v>173</v>
      </c>
      <c r="C26" s="258" t="s">
        <v>174</v>
      </c>
      <c r="D26" s="360" t="str">
        <f>+ВВОД!B81</f>
        <v>200</v>
      </c>
      <c r="E26" s="361">
        <v>900</v>
      </c>
      <c r="F26" s="362">
        <f>D26*E26</f>
        <v>180000</v>
      </c>
    </row>
    <row r="27" spans="2:20" x14ac:dyDescent="0.25">
      <c r="B27" s="270" t="s">
        <v>55</v>
      </c>
      <c r="C27" s="258" t="s">
        <v>175</v>
      </c>
      <c r="D27" s="360" t="str">
        <f>+ВВОД!B83</f>
        <v>10</v>
      </c>
      <c r="E27" s="361">
        <v>1000</v>
      </c>
      <c r="F27" s="362">
        <f>D27*E27</f>
        <v>10000</v>
      </c>
    </row>
    <row r="28" spans="2:20" x14ac:dyDescent="0.25">
      <c r="B28" s="270" t="s">
        <v>57</v>
      </c>
      <c r="C28" s="258" t="s">
        <v>175</v>
      </c>
      <c r="D28" s="360" t="str">
        <f>+ВВОД!B85</f>
        <v>10</v>
      </c>
      <c r="E28" s="361">
        <v>4800</v>
      </c>
      <c r="F28" s="362">
        <f>D28*E28</f>
        <v>48000</v>
      </c>
    </row>
    <row r="29" spans="2:20" ht="15" customHeight="1" x14ac:dyDescent="0.25">
      <c r="B29" s="270" t="s">
        <v>58</v>
      </c>
      <c r="C29" s="258" t="s">
        <v>175</v>
      </c>
      <c r="D29" s="360" t="str">
        <f>+ВВОД!B87</f>
        <v>10</v>
      </c>
      <c r="E29" s="363">
        <v>1500</v>
      </c>
      <c r="F29" s="362">
        <f>D29*E29</f>
        <v>15000</v>
      </c>
    </row>
    <row r="30" spans="2:20" ht="15" hidden="1" customHeight="1" x14ac:dyDescent="0.25">
      <c r="B30" s="126"/>
      <c r="C30" s="102"/>
      <c r="D30" s="364"/>
      <c r="E30" s="365"/>
      <c r="F30" s="366"/>
    </row>
    <row r="31" spans="2:20" ht="15" hidden="1" customHeight="1" x14ac:dyDescent="0.25">
      <c r="B31" s="126"/>
      <c r="C31" s="102"/>
      <c r="D31" s="364"/>
      <c r="E31" s="365"/>
      <c r="F31" s="366"/>
    </row>
    <row r="32" spans="2:20" ht="15" hidden="1" customHeight="1" x14ac:dyDescent="0.25">
      <c r="B32" s="126"/>
      <c r="C32" s="102"/>
      <c r="D32" s="364"/>
      <c r="E32" s="365"/>
      <c r="F32" s="366"/>
    </row>
    <row r="33" spans="2:6" ht="30.75" customHeight="1" thickBot="1" x14ac:dyDescent="0.3">
      <c r="B33" s="117" t="s">
        <v>160</v>
      </c>
      <c r="C33" s="14" t="s">
        <v>176</v>
      </c>
      <c r="D33" s="14" t="s">
        <v>176</v>
      </c>
      <c r="E33" s="14" t="s">
        <v>176</v>
      </c>
      <c r="F33" s="367">
        <f>SUM(F26:F32)</f>
        <v>253000</v>
      </c>
    </row>
    <row r="34" spans="2:6" ht="16.5" customHeight="1" thickTop="1" x14ac:dyDescent="0.25"/>
  </sheetData>
  <mergeCells count="2">
    <mergeCell ref="B16:F16"/>
    <mergeCell ref="B3:F3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B1:L64"/>
  <sheetViews>
    <sheetView showGridLines="0" view="pageBreakPreview" topLeftCell="A12" zoomScale="84" zoomScaleNormal="75" zoomScaleSheetLayoutView="84" workbookViewId="0">
      <selection activeCell="B80" sqref="B80"/>
    </sheetView>
  </sheetViews>
  <sheetFormatPr defaultRowHeight="15.75" x14ac:dyDescent="0.25"/>
  <cols>
    <col min="2" max="2" width="22.625" style="511" customWidth="1"/>
    <col min="3" max="3" width="17.625" style="511" customWidth="1"/>
    <col min="4" max="4" width="20.375" style="511" customWidth="1"/>
    <col min="5" max="5" width="16.25" style="511" customWidth="1"/>
    <col min="6" max="6" width="15.125" style="511" customWidth="1"/>
    <col min="7" max="7" width="18.875" style="511" customWidth="1"/>
    <col min="8" max="8" width="17.625" style="511" customWidth="1"/>
    <col min="9" max="9" width="18.5" style="511" customWidth="1"/>
    <col min="10" max="10" width="9.5" style="511" bestFit="1" customWidth="1"/>
    <col min="11" max="11" width="9" style="511" customWidth="1"/>
  </cols>
  <sheetData>
    <row r="1" spans="2:12" ht="14.25" customHeight="1" x14ac:dyDescent="0.25">
      <c r="C1" s="4"/>
      <c r="D1" s="4"/>
    </row>
    <row r="2" spans="2:12" x14ac:dyDescent="0.25">
      <c r="B2" s="322" t="s">
        <v>177</v>
      </c>
      <c r="C2" s="2"/>
      <c r="D2" s="2"/>
      <c r="E2" s="2"/>
      <c r="G2" s="23" t="s">
        <v>178</v>
      </c>
    </row>
    <row r="3" spans="2:12" ht="47.25" customHeight="1" x14ac:dyDescent="0.25">
      <c r="B3" s="287" t="s">
        <v>179</v>
      </c>
      <c r="C3" s="287" t="s">
        <v>180</v>
      </c>
      <c r="D3" s="287" t="s">
        <v>181</v>
      </c>
      <c r="E3" s="287" t="s">
        <v>182</v>
      </c>
      <c r="F3" s="287" t="s">
        <v>183</v>
      </c>
      <c r="G3" s="287" t="s">
        <v>184</v>
      </c>
    </row>
    <row r="4" spans="2:12" ht="45" customHeight="1" x14ac:dyDescent="0.25">
      <c r="B4" s="298">
        <f>+ВВОД!B56</f>
        <v>0</v>
      </c>
      <c r="C4" s="292" t="str">
        <f>+ВВОД!B58</f>
        <v>2000</v>
      </c>
      <c r="D4" s="292" t="str">
        <f>+ВВОД!B60</f>
        <v>51111</v>
      </c>
      <c r="E4" s="293">
        <f>C4*D4</f>
        <v>102222000</v>
      </c>
      <c r="F4" s="368" t="str">
        <f>+ВВОД!B62</f>
        <v>5000</v>
      </c>
      <c r="G4" s="369">
        <f>E4*F4</f>
        <v>511110000000</v>
      </c>
    </row>
    <row r="5" spans="2:12" hidden="1" x14ac:dyDescent="0.25">
      <c r="B5" s="289"/>
      <c r="C5" s="290"/>
      <c r="D5" s="290"/>
      <c r="E5" s="290"/>
      <c r="F5" s="290"/>
      <c r="G5" s="291"/>
    </row>
    <row r="6" spans="2:12" hidden="1" x14ac:dyDescent="0.25">
      <c r="B6" s="178"/>
      <c r="C6" s="157"/>
      <c r="D6" s="174"/>
      <c r="E6" s="174"/>
      <c r="F6" s="174"/>
      <c r="G6" s="179"/>
    </row>
    <row r="7" spans="2:12" hidden="1" x14ac:dyDescent="0.25">
      <c r="B7" s="178"/>
      <c r="C7" s="157"/>
      <c r="D7" s="174"/>
      <c r="E7" s="174"/>
      <c r="F7" s="174"/>
      <c r="G7" s="179"/>
    </row>
    <row r="8" spans="2:12" hidden="1" x14ac:dyDescent="0.25">
      <c r="B8" s="178"/>
      <c r="C8" s="157"/>
      <c r="D8" s="174"/>
      <c r="E8" s="174"/>
      <c r="F8" s="174"/>
      <c r="G8" s="179"/>
    </row>
    <row r="9" spans="2:12" ht="16.5" hidden="1" customHeight="1" thickBot="1" x14ac:dyDescent="0.3">
      <c r="B9" s="183"/>
      <c r="C9" s="158"/>
      <c r="D9" s="174"/>
      <c r="E9" s="159"/>
      <c r="F9" s="158"/>
      <c r="G9" s="184"/>
    </row>
    <row r="10" spans="2:12" hidden="1" x14ac:dyDescent="0.25">
      <c r="B10" s="175"/>
      <c r="C10" s="176"/>
      <c r="D10" s="176"/>
      <c r="E10" s="176"/>
      <c r="F10" s="181"/>
      <c r="G10" s="182"/>
      <c r="H10" s="177"/>
      <c r="I10" s="196"/>
      <c r="L10" s="511"/>
    </row>
    <row r="11" spans="2:12" ht="16.5" hidden="1" customHeight="1" thickBot="1" x14ac:dyDescent="0.3">
      <c r="B11" s="160"/>
      <c r="C11" s="161"/>
      <c r="D11" s="161"/>
      <c r="E11" s="162"/>
      <c r="F11" s="161"/>
      <c r="G11" s="180"/>
      <c r="H11" s="163"/>
      <c r="I11" s="188"/>
      <c r="L11" s="511"/>
    </row>
    <row r="12" spans="2:12" x14ac:dyDescent="0.25">
      <c r="B12" s="186"/>
      <c r="C12" s="187"/>
      <c r="D12" s="187"/>
      <c r="E12" s="188"/>
      <c r="F12" s="187"/>
      <c r="G12" s="187"/>
      <c r="H12" s="188"/>
      <c r="I12" s="188"/>
      <c r="L12" s="511"/>
    </row>
    <row r="13" spans="2:12" x14ac:dyDescent="0.25">
      <c r="B13" s="323" t="s">
        <v>185</v>
      </c>
      <c r="C13" s="2"/>
      <c r="D13" s="2"/>
      <c r="E13" s="2"/>
      <c r="G13" s="23"/>
    </row>
    <row r="14" spans="2:12" ht="31.5" customHeight="1" x14ac:dyDescent="0.25">
      <c r="B14" s="294" t="s">
        <v>179</v>
      </c>
      <c r="C14" s="294" t="s">
        <v>186</v>
      </c>
      <c r="D14" s="294" t="s">
        <v>187</v>
      </c>
      <c r="E14" s="294"/>
      <c r="F14" s="287" t="s">
        <v>188</v>
      </c>
      <c r="G14" s="277" t="s">
        <v>189</v>
      </c>
    </row>
    <row r="15" spans="2:12" ht="44.25" customHeight="1" x14ac:dyDescent="0.25">
      <c r="B15" s="295">
        <f>+B4</f>
        <v>0</v>
      </c>
      <c r="C15" s="204" t="s">
        <v>190</v>
      </c>
      <c r="D15" s="525">
        <f>E4</f>
        <v>102222000</v>
      </c>
      <c r="E15" s="523"/>
      <c r="F15" s="370" t="str">
        <f>F4</f>
        <v>5000</v>
      </c>
      <c r="G15" s="371">
        <v>0</v>
      </c>
      <c r="J15" s="372"/>
    </row>
    <row r="16" spans="2:12" ht="19.149999999999999" hidden="1" customHeight="1" x14ac:dyDescent="0.25">
      <c r="B16" s="296" t="s">
        <v>1</v>
      </c>
      <c r="C16" s="157" t="s">
        <v>191</v>
      </c>
      <c r="D16" s="525">
        <f>E6*12</f>
        <v>0</v>
      </c>
      <c r="E16" s="523"/>
      <c r="F16" s="370">
        <f>F6</f>
        <v>0</v>
      </c>
      <c r="G16" s="371">
        <v>0</v>
      </c>
      <c r="H16" s="373"/>
      <c r="I16" s="373"/>
    </row>
    <row r="17" spans="2:9" ht="19.149999999999999" hidden="1" customHeight="1" x14ac:dyDescent="0.25">
      <c r="B17" s="296">
        <f>B7</f>
        <v>0</v>
      </c>
      <c r="C17" s="157" t="s">
        <v>191</v>
      </c>
      <c r="D17" s="525">
        <f>E7*12</f>
        <v>0</v>
      </c>
      <c r="E17" s="523"/>
      <c r="F17" s="370">
        <f>F7</f>
        <v>0</v>
      </c>
      <c r="G17" s="371">
        <v>0</v>
      </c>
      <c r="H17" s="373"/>
      <c r="I17" s="373"/>
    </row>
    <row r="18" spans="2:9" ht="19.149999999999999" hidden="1" customHeight="1" x14ac:dyDescent="0.25">
      <c r="B18" s="296" t="s">
        <v>3</v>
      </c>
      <c r="C18" s="157" t="s">
        <v>191</v>
      </c>
      <c r="D18" s="525">
        <f>E8*12</f>
        <v>0</v>
      </c>
      <c r="E18" s="523"/>
      <c r="F18" s="370">
        <f>F8</f>
        <v>0</v>
      </c>
      <c r="G18" s="371">
        <v>0</v>
      </c>
      <c r="H18" s="373"/>
      <c r="I18" s="373"/>
    </row>
    <row r="19" spans="2:9" ht="19.149999999999999" hidden="1" customHeight="1" thickBot="1" x14ac:dyDescent="0.3">
      <c r="B19" s="296">
        <f>B9</f>
        <v>0</v>
      </c>
      <c r="C19" s="157" t="s">
        <v>191</v>
      </c>
      <c r="D19" s="525">
        <f>E9*12</f>
        <v>0</v>
      </c>
      <c r="E19" s="523"/>
      <c r="F19" s="370">
        <f>F9</f>
        <v>0</v>
      </c>
      <c r="G19" s="371">
        <v>0</v>
      </c>
      <c r="H19" s="373"/>
      <c r="I19" s="373"/>
    </row>
    <row r="20" spans="2:9" ht="19.149999999999999" customHeight="1" x14ac:dyDescent="0.25">
      <c r="B20" s="296"/>
      <c r="C20" s="157"/>
      <c r="D20" s="525"/>
      <c r="E20" s="523"/>
      <c r="F20" s="370"/>
      <c r="G20" s="371"/>
      <c r="H20" s="373"/>
      <c r="I20" s="373"/>
    </row>
    <row r="21" spans="2:9" ht="19.5" customHeight="1" x14ac:dyDescent="0.25">
      <c r="D21" s="373"/>
    </row>
    <row r="22" spans="2:9" x14ac:dyDescent="0.25">
      <c r="C22" s="374"/>
      <c r="D22" s="375"/>
      <c r="E22" s="376"/>
      <c r="F22" s="376"/>
      <c r="G22" s="7"/>
      <c r="H22" s="374"/>
      <c r="I22" s="374"/>
    </row>
    <row r="23" spans="2:9" s="503" customFormat="1" ht="18.75" customHeight="1" x14ac:dyDescent="0.2">
      <c r="B23" s="324" t="s">
        <v>192</v>
      </c>
      <c r="C23" s="297" t="str">
        <f>Depreciate!E4</f>
        <v>1-yil</v>
      </c>
      <c r="D23" s="197" t="str">
        <f>Depreciate!F4</f>
        <v>2-yil</v>
      </c>
      <c r="E23" s="197" t="str">
        <f>Depreciate!G4</f>
        <v>3-yil</v>
      </c>
      <c r="F23" s="197" t="str">
        <f>Depreciate!H4</f>
        <v>4-yil</v>
      </c>
      <c r="G23" s="197" t="str">
        <f>Depreciate!I4</f>
        <v>5-yil</v>
      </c>
      <c r="H23" s="197" t="str">
        <f>Depreciate!J4</f>
        <v>6-yil</v>
      </c>
      <c r="I23" s="197" t="str">
        <f>Depreciate!K4</f>
        <v>7-yil</v>
      </c>
    </row>
    <row r="24" spans="2:9" x14ac:dyDescent="0.25">
      <c r="B24" s="199" t="s">
        <v>193</v>
      </c>
      <c r="C24" s="170">
        <v>0.7</v>
      </c>
      <c r="D24" s="170">
        <v>0.75</v>
      </c>
      <c r="E24" s="170">
        <v>0.8</v>
      </c>
      <c r="F24" s="170">
        <v>0.85</v>
      </c>
      <c r="G24" s="170">
        <v>0.9</v>
      </c>
      <c r="H24" s="170">
        <v>0.95</v>
      </c>
      <c r="I24" s="170">
        <v>1</v>
      </c>
    </row>
    <row r="25" spans="2:9" hidden="1" x14ac:dyDescent="0.25">
      <c r="B25" s="171" t="s">
        <v>194</v>
      </c>
      <c r="C25" s="171"/>
      <c r="D25" s="171"/>
      <c r="E25" s="171"/>
      <c r="F25" s="171"/>
      <c r="G25" s="171"/>
      <c r="H25" s="171"/>
      <c r="I25" s="171"/>
    </row>
    <row r="26" spans="2:9" ht="0.75" hidden="1" customHeight="1" x14ac:dyDescent="0.25">
      <c r="B26" s="200" t="s">
        <v>11</v>
      </c>
      <c r="C26" s="377">
        <f t="shared" ref="C26:I26" si="0">$D15*C$24</f>
        <v>71555400</v>
      </c>
      <c r="D26" s="377">
        <f t="shared" si="0"/>
        <v>76666500</v>
      </c>
      <c r="E26" s="377">
        <f t="shared" si="0"/>
        <v>81777600</v>
      </c>
      <c r="F26" s="377">
        <f t="shared" si="0"/>
        <v>86888700</v>
      </c>
      <c r="G26" s="377">
        <f t="shared" si="0"/>
        <v>91999800</v>
      </c>
      <c r="H26" s="377">
        <f t="shared" si="0"/>
        <v>97110900</v>
      </c>
      <c r="I26" s="377">
        <f t="shared" si="0"/>
        <v>102222000</v>
      </c>
    </row>
    <row r="27" spans="2:9" ht="0.75" hidden="1" customHeight="1" x14ac:dyDescent="0.25">
      <c r="B27" s="200" t="str">
        <f>B16</f>
        <v>Parrandachilik</v>
      </c>
      <c r="C27" s="377">
        <f t="shared" ref="C27:I27" si="1">$D$16*C24</f>
        <v>0</v>
      </c>
      <c r="D27" s="377">
        <f t="shared" si="1"/>
        <v>0</v>
      </c>
      <c r="E27" s="377">
        <f t="shared" si="1"/>
        <v>0</v>
      </c>
      <c r="F27" s="377">
        <f t="shared" si="1"/>
        <v>0</v>
      </c>
      <c r="G27" s="377">
        <f t="shared" si="1"/>
        <v>0</v>
      </c>
      <c r="H27" s="377">
        <f t="shared" si="1"/>
        <v>0</v>
      </c>
      <c r="I27" s="377">
        <f t="shared" si="1"/>
        <v>0</v>
      </c>
    </row>
    <row r="28" spans="2:9" ht="33" hidden="1" customHeight="1" x14ac:dyDescent="0.25">
      <c r="B28" s="200" t="s">
        <v>13</v>
      </c>
      <c r="C28" s="377">
        <f t="shared" ref="C28:I28" si="2">$D$17*C24</f>
        <v>0</v>
      </c>
      <c r="D28" s="377">
        <f t="shared" si="2"/>
        <v>0</v>
      </c>
      <c r="E28" s="377">
        <f t="shared" si="2"/>
        <v>0</v>
      </c>
      <c r="F28" s="377">
        <f t="shared" si="2"/>
        <v>0</v>
      </c>
      <c r="G28" s="377">
        <f t="shared" si="2"/>
        <v>0</v>
      </c>
      <c r="H28" s="377">
        <f t="shared" si="2"/>
        <v>0</v>
      </c>
      <c r="I28" s="377">
        <f t="shared" si="2"/>
        <v>0</v>
      </c>
    </row>
    <row r="29" spans="2:9" ht="33" hidden="1" customHeight="1" x14ac:dyDescent="0.25">
      <c r="B29" s="200" t="str">
        <f>B18</f>
        <v>"Bobur Аkbarov" MCHJ</v>
      </c>
      <c r="C29" s="377">
        <f t="shared" ref="C29:I29" si="3">$D$18*C24</f>
        <v>0</v>
      </c>
      <c r="D29" s="377">
        <f t="shared" si="3"/>
        <v>0</v>
      </c>
      <c r="E29" s="377">
        <f t="shared" si="3"/>
        <v>0</v>
      </c>
      <c r="F29" s="377">
        <f t="shared" si="3"/>
        <v>0</v>
      </c>
      <c r="G29" s="377">
        <f t="shared" si="3"/>
        <v>0</v>
      </c>
      <c r="H29" s="377">
        <f t="shared" si="3"/>
        <v>0</v>
      </c>
      <c r="I29" s="377">
        <f t="shared" si="3"/>
        <v>0</v>
      </c>
    </row>
    <row r="30" spans="2:9" ht="33" hidden="1" customHeight="1" x14ac:dyDescent="0.25">
      <c r="B30" s="200" t="s">
        <v>15</v>
      </c>
      <c r="C30" s="377">
        <f t="shared" ref="C30:I30" si="4">$D$19*C24</f>
        <v>0</v>
      </c>
      <c r="D30" s="377">
        <f t="shared" si="4"/>
        <v>0</v>
      </c>
      <c r="E30" s="377">
        <f t="shared" si="4"/>
        <v>0</v>
      </c>
      <c r="F30" s="377">
        <f t="shared" si="4"/>
        <v>0</v>
      </c>
      <c r="G30" s="377">
        <f t="shared" si="4"/>
        <v>0</v>
      </c>
      <c r="H30" s="377">
        <f t="shared" si="4"/>
        <v>0</v>
      </c>
      <c r="I30" s="377">
        <f t="shared" si="4"/>
        <v>0</v>
      </c>
    </row>
    <row r="31" spans="2:9" ht="33" hidden="1" customHeight="1" x14ac:dyDescent="0.25">
      <c r="B31" s="200">
        <f>B20</f>
        <v>0</v>
      </c>
      <c r="C31" s="377">
        <f t="shared" ref="C31:I31" si="5">$D$20*C24</f>
        <v>0</v>
      </c>
      <c r="D31" s="377">
        <f t="shared" si="5"/>
        <v>0</v>
      </c>
      <c r="E31" s="377">
        <f t="shared" si="5"/>
        <v>0</v>
      </c>
      <c r="F31" s="377">
        <f t="shared" si="5"/>
        <v>0</v>
      </c>
      <c r="G31" s="377">
        <f t="shared" si="5"/>
        <v>0</v>
      </c>
      <c r="H31" s="377">
        <f t="shared" si="5"/>
        <v>0</v>
      </c>
      <c r="I31" s="377">
        <f t="shared" si="5"/>
        <v>0</v>
      </c>
    </row>
    <row r="32" spans="2:9" ht="33" hidden="1" customHeight="1" x14ac:dyDescent="0.25">
      <c r="B32" s="172" t="s">
        <v>17</v>
      </c>
      <c r="C32" s="172"/>
      <c r="D32" s="172"/>
      <c r="E32" s="172"/>
      <c r="F32" s="172"/>
      <c r="G32" s="172"/>
      <c r="H32" s="172"/>
      <c r="I32" s="172"/>
    </row>
    <row r="33" spans="2:9" ht="33" hidden="1" customHeight="1" x14ac:dyDescent="0.25">
      <c r="B33" s="171" t="s">
        <v>195</v>
      </c>
      <c r="C33" s="171"/>
      <c r="D33" s="171"/>
      <c r="E33" s="171"/>
      <c r="F33" s="171"/>
      <c r="G33" s="171"/>
      <c r="H33" s="171"/>
      <c r="I33" s="171"/>
    </row>
    <row r="34" spans="2:9" ht="33" hidden="1" customHeight="1" x14ac:dyDescent="0.25">
      <c r="B34" s="200" t="s">
        <v>19</v>
      </c>
      <c r="C34" s="377">
        <f>C26*G15</f>
        <v>0</v>
      </c>
      <c r="D34" s="377">
        <f t="shared" ref="D34:I34" si="6">D26*$G$15</f>
        <v>0</v>
      </c>
      <c r="E34" s="377">
        <f t="shared" si="6"/>
        <v>0</v>
      </c>
      <c r="F34" s="377">
        <f t="shared" si="6"/>
        <v>0</v>
      </c>
      <c r="G34" s="377">
        <f t="shared" si="6"/>
        <v>0</v>
      </c>
      <c r="H34" s="377">
        <f t="shared" si="6"/>
        <v>0</v>
      </c>
      <c r="I34" s="377">
        <f t="shared" si="6"/>
        <v>0</v>
      </c>
    </row>
    <row r="35" spans="2:9" ht="33" hidden="1" customHeight="1" x14ac:dyDescent="0.25">
      <c r="B35" s="200" t="e">
        <f>#REF!</f>
        <v>#REF!</v>
      </c>
      <c r="C35" s="377" t="e">
        <f>#REF!*#REF!</f>
        <v>#REF!</v>
      </c>
      <c r="D35" s="377" t="e">
        <f>#REF!*$G$15</f>
        <v>#REF!</v>
      </c>
      <c r="E35" s="377" t="e">
        <f>#REF!*$G$15</f>
        <v>#REF!</v>
      </c>
      <c r="F35" s="377" t="e">
        <f>#REF!*$G$15</f>
        <v>#REF!</v>
      </c>
      <c r="G35" s="377" t="e">
        <f>#REF!*$G$15</f>
        <v>#REF!</v>
      </c>
      <c r="H35" s="377" t="e">
        <f>#REF!*$G$15</f>
        <v>#REF!</v>
      </c>
      <c r="I35" s="377" t="e">
        <f>#REF!*$G$15</f>
        <v>#REF!</v>
      </c>
    </row>
    <row r="36" spans="2:9" ht="33" hidden="1" customHeight="1" x14ac:dyDescent="0.25">
      <c r="B36" s="200" t="s">
        <v>21</v>
      </c>
      <c r="C36" s="377">
        <f t="shared" ref="C36:I40" si="7">C27*$G16</f>
        <v>0</v>
      </c>
      <c r="D36" s="377">
        <f t="shared" si="7"/>
        <v>0</v>
      </c>
      <c r="E36" s="377">
        <f t="shared" si="7"/>
        <v>0</v>
      </c>
      <c r="F36" s="377">
        <f t="shared" si="7"/>
        <v>0</v>
      </c>
      <c r="G36" s="377">
        <f t="shared" si="7"/>
        <v>0</v>
      </c>
      <c r="H36" s="377">
        <f t="shared" si="7"/>
        <v>0</v>
      </c>
      <c r="I36" s="377">
        <f t="shared" si="7"/>
        <v>0</v>
      </c>
    </row>
    <row r="37" spans="2:9" ht="33" hidden="1" customHeight="1" x14ac:dyDescent="0.25">
      <c r="B37" s="200" t="str">
        <f>B28</f>
        <v>Tovuq boqish</v>
      </c>
      <c r="C37" s="377">
        <f t="shared" si="7"/>
        <v>0</v>
      </c>
      <c r="D37" s="377">
        <f t="shared" si="7"/>
        <v>0</v>
      </c>
      <c r="E37" s="377">
        <f t="shared" si="7"/>
        <v>0</v>
      </c>
      <c r="F37" s="377">
        <f t="shared" si="7"/>
        <v>0</v>
      </c>
      <c r="G37" s="377">
        <f t="shared" si="7"/>
        <v>0</v>
      </c>
      <c r="H37" s="377">
        <f t="shared" si="7"/>
        <v>0</v>
      </c>
      <c r="I37" s="377">
        <f t="shared" si="7"/>
        <v>0</v>
      </c>
    </row>
    <row r="38" spans="2:9" ht="33" hidden="1" customHeight="1" x14ac:dyDescent="0.25">
      <c r="B38" s="200" t="s">
        <v>23</v>
      </c>
      <c r="C38" s="377">
        <f t="shared" si="7"/>
        <v>0</v>
      </c>
      <c r="D38" s="377">
        <f t="shared" si="7"/>
        <v>0</v>
      </c>
      <c r="E38" s="377">
        <f t="shared" si="7"/>
        <v>0</v>
      </c>
      <c r="F38" s="377">
        <f t="shared" si="7"/>
        <v>0</v>
      </c>
      <c r="G38" s="377">
        <f t="shared" si="7"/>
        <v>0</v>
      </c>
      <c r="H38" s="377">
        <f t="shared" si="7"/>
        <v>0</v>
      </c>
      <c r="I38" s="377">
        <f t="shared" si="7"/>
        <v>0</v>
      </c>
    </row>
    <row r="39" spans="2:9" ht="33" hidden="1" customHeight="1" x14ac:dyDescent="0.25">
      <c r="B39" s="200" t="str">
        <f>B30</f>
        <v>Masuliyati cheklangan jamiyat</v>
      </c>
      <c r="C39" s="377">
        <f t="shared" si="7"/>
        <v>0</v>
      </c>
      <c r="D39" s="377">
        <f t="shared" si="7"/>
        <v>0</v>
      </c>
      <c r="E39" s="377">
        <f t="shared" si="7"/>
        <v>0</v>
      </c>
      <c r="F39" s="377">
        <f t="shared" si="7"/>
        <v>0</v>
      </c>
      <c r="G39" s="377">
        <f t="shared" si="7"/>
        <v>0</v>
      </c>
      <c r="H39" s="377">
        <f t="shared" si="7"/>
        <v>0</v>
      </c>
      <c r="I39" s="377">
        <f t="shared" si="7"/>
        <v>0</v>
      </c>
    </row>
    <row r="40" spans="2:9" ht="33" hidden="1" customHeight="1" x14ac:dyDescent="0.25">
      <c r="B40" s="200">
        <f>B31</f>
        <v>0</v>
      </c>
      <c r="C40" s="377">
        <f t="shared" si="7"/>
        <v>0</v>
      </c>
      <c r="D40" s="377">
        <f t="shared" si="7"/>
        <v>0</v>
      </c>
      <c r="E40" s="377">
        <f t="shared" si="7"/>
        <v>0</v>
      </c>
      <c r="F40" s="377">
        <f t="shared" si="7"/>
        <v>0</v>
      </c>
      <c r="G40" s="377">
        <f t="shared" si="7"/>
        <v>0</v>
      </c>
      <c r="H40" s="377">
        <f t="shared" si="7"/>
        <v>0</v>
      </c>
      <c r="I40" s="377">
        <f t="shared" si="7"/>
        <v>0</v>
      </c>
    </row>
    <row r="41" spans="2:9" ht="33" hidden="1" customHeight="1" x14ac:dyDescent="0.25">
      <c r="B41" s="172"/>
      <c r="C41" s="172"/>
      <c r="D41" s="172"/>
      <c r="E41" s="172"/>
      <c r="F41" s="172"/>
      <c r="G41" s="172"/>
      <c r="H41" s="172"/>
      <c r="I41" s="172"/>
    </row>
    <row r="42" spans="2:9" hidden="1" x14ac:dyDescent="0.25">
      <c r="B42" s="171" t="s">
        <v>25</v>
      </c>
      <c r="C42" s="171"/>
      <c r="D42" s="171"/>
      <c r="E42" s="171"/>
      <c r="F42" s="171"/>
      <c r="G42" s="171"/>
      <c r="H42" s="171"/>
      <c r="I42" s="171"/>
    </row>
    <row r="43" spans="2:9" ht="28.5" customHeight="1" x14ac:dyDescent="0.25">
      <c r="B43" s="200">
        <f>+B15</f>
        <v>0</v>
      </c>
      <c r="C43" s="377">
        <f t="shared" ref="C43:I43" si="8">C24*$E$4</f>
        <v>71555400</v>
      </c>
      <c r="D43" s="377">
        <f t="shared" si="8"/>
        <v>76666500</v>
      </c>
      <c r="E43" s="377">
        <f t="shared" si="8"/>
        <v>81777600</v>
      </c>
      <c r="F43" s="377">
        <f t="shared" si="8"/>
        <v>86888700</v>
      </c>
      <c r="G43" s="377">
        <f t="shared" si="8"/>
        <v>91999800</v>
      </c>
      <c r="H43" s="377">
        <f t="shared" si="8"/>
        <v>97110900</v>
      </c>
      <c r="I43" s="377">
        <f t="shared" si="8"/>
        <v>102222000</v>
      </c>
    </row>
    <row r="44" spans="2:9" ht="16.5" hidden="1" customHeight="1" x14ac:dyDescent="0.25">
      <c r="B44" s="200" t="s">
        <v>27</v>
      </c>
      <c r="C44" s="377">
        <f t="shared" ref="C44:I48" si="9">C27-C36</f>
        <v>0</v>
      </c>
      <c r="D44" s="377">
        <f t="shared" si="9"/>
        <v>0</v>
      </c>
      <c r="E44" s="377">
        <f t="shared" si="9"/>
        <v>0</v>
      </c>
      <c r="F44" s="377">
        <f t="shared" si="9"/>
        <v>0</v>
      </c>
      <c r="G44" s="377">
        <f t="shared" si="9"/>
        <v>0</v>
      </c>
      <c r="H44" s="377">
        <f t="shared" si="9"/>
        <v>0</v>
      </c>
      <c r="I44" s="377">
        <f t="shared" si="9"/>
        <v>0</v>
      </c>
    </row>
    <row r="45" spans="2:9" ht="16.5" hidden="1" customHeight="1" x14ac:dyDescent="0.25">
      <c r="B45" s="200" t="str">
        <f>B37</f>
        <v>Tovuq boqish</v>
      </c>
      <c r="C45" s="377">
        <f t="shared" si="9"/>
        <v>0</v>
      </c>
      <c r="D45" s="377">
        <f t="shared" si="9"/>
        <v>0</v>
      </c>
      <c r="E45" s="377">
        <f t="shared" si="9"/>
        <v>0</v>
      </c>
      <c r="F45" s="377">
        <f t="shared" si="9"/>
        <v>0</v>
      </c>
      <c r="G45" s="377">
        <f t="shared" si="9"/>
        <v>0</v>
      </c>
      <c r="H45" s="377">
        <f t="shared" si="9"/>
        <v>0</v>
      </c>
      <c r="I45" s="377">
        <f t="shared" si="9"/>
        <v>0</v>
      </c>
    </row>
    <row r="46" spans="2:9" ht="16.5" hidden="1" customHeight="1" x14ac:dyDescent="0.25">
      <c r="B46" s="200" t="s">
        <v>29</v>
      </c>
      <c r="C46" s="377">
        <f t="shared" si="9"/>
        <v>0</v>
      </c>
      <c r="D46" s="377">
        <f t="shared" si="9"/>
        <v>0</v>
      </c>
      <c r="E46" s="377">
        <f t="shared" si="9"/>
        <v>0</v>
      </c>
      <c r="F46" s="377">
        <f t="shared" si="9"/>
        <v>0</v>
      </c>
      <c r="G46" s="377">
        <f t="shared" si="9"/>
        <v>0</v>
      </c>
      <c r="H46" s="377">
        <f t="shared" si="9"/>
        <v>0</v>
      </c>
      <c r="I46" s="377">
        <f t="shared" si="9"/>
        <v>0</v>
      </c>
    </row>
    <row r="47" spans="2:9" ht="16.5" hidden="1" customHeight="1" x14ac:dyDescent="0.25">
      <c r="B47" s="200" t="str">
        <f>B39</f>
        <v>Masuliyati cheklangan jamiyat</v>
      </c>
      <c r="C47" s="377">
        <f t="shared" si="9"/>
        <v>0</v>
      </c>
      <c r="D47" s="377">
        <f t="shared" si="9"/>
        <v>0</v>
      </c>
      <c r="E47" s="377">
        <f t="shared" si="9"/>
        <v>0</v>
      </c>
      <c r="F47" s="377">
        <f t="shared" si="9"/>
        <v>0</v>
      </c>
      <c r="G47" s="377">
        <f t="shared" si="9"/>
        <v>0</v>
      </c>
      <c r="H47" s="377">
        <f t="shared" si="9"/>
        <v>0</v>
      </c>
      <c r="I47" s="377">
        <f t="shared" si="9"/>
        <v>0</v>
      </c>
    </row>
    <row r="48" spans="2:9" ht="16.5" hidden="1" customHeight="1" x14ac:dyDescent="0.25">
      <c r="B48" s="200" t="s">
        <v>31</v>
      </c>
      <c r="C48" s="377">
        <f t="shared" si="9"/>
        <v>0</v>
      </c>
      <c r="D48" s="377">
        <f t="shared" si="9"/>
        <v>0</v>
      </c>
      <c r="E48" s="377">
        <f t="shared" si="9"/>
        <v>0</v>
      </c>
      <c r="F48" s="377">
        <f t="shared" si="9"/>
        <v>0</v>
      </c>
      <c r="G48" s="377">
        <f t="shared" si="9"/>
        <v>0</v>
      </c>
      <c r="H48" s="377">
        <f t="shared" si="9"/>
        <v>0</v>
      </c>
      <c r="I48" s="377">
        <f t="shared" si="9"/>
        <v>0</v>
      </c>
    </row>
    <row r="49" spans="2:9" ht="17.45" customHeight="1" x14ac:dyDescent="0.25">
      <c r="B49" s="172"/>
      <c r="C49" s="172"/>
      <c r="D49" s="172"/>
      <c r="E49" s="172"/>
      <c r="F49" s="172"/>
      <c r="G49" s="172"/>
      <c r="H49" s="172"/>
      <c r="I49" s="172"/>
    </row>
    <row r="50" spans="2:9" hidden="1" x14ac:dyDescent="0.25">
      <c r="B50" s="199" t="s">
        <v>196</v>
      </c>
      <c r="C50" s="199"/>
      <c r="D50" s="199"/>
      <c r="E50" s="199"/>
      <c r="F50" s="199"/>
      <c r="G50" s="199"/>
      <c r="H50" s="199"/>
      <c r="I50" s="199"/>
    </row>
    <row r="51" spans="2:9" x14ac:dyDescent="0.25">
      <c r="B51" s="200">
        <f>B43</f>
        <v>0</v>
      </c>
      <c r="C51" s="13">
        <f t="shared" ref="C51:I56" si="10">C43*$F15</f>
        <v>357777000000</v>
      </c>
      <c r="D51" s="13">
        <f t="shared" si="10"/>
        <v>383332500000</v>
      </c>
      <c r="E51" s="13">
        <f t="shared" si="10"/>
        <v>408888000000</v>
      </c>
      <c r="F51" s="13">
        <f t="shared" si="10"/>
        <v>434443500000</v>
      </c>
      <c r="G51" s="13">
        <f t="shared" si="10"/>
        <v>459999000000</v>
      </c>
      <c r="H51" s="13">
        <f t="shared" si="10"/>
        <v>485554500000</v>
      </c>
      <c r="I51" s="13">
        <f t="shared" si="10"/>
        <v>511110000000</v>
      </c>
    </row>
    <row r="52" spans="2:9" hidden="1" x14ac:dyDescent="0.25">
      <c r="B52" s="201">
        <v>1874001.16</v>
      </c>
      <c r="C52" s="13">
        <f t="shared" si="10"/>
        <v>0</v>
      </c>
      <c r="D52" s="13">
        <f t="shared" si="10"/>
        <v>0</v>
      </c>
      <c r="E52" s="13">
        <f t="shared" si="10"/>
        <v>0</v>
      </c>
      <c r="F52" s="13">
        <f t="shared" si="10"/>
        <v>0</v>
      </c>
      <c r="G52" s="13">
        <f t="shared" si="10"/>
        <v>0</v>
      </c>
      <c r="H52" s="13">
        <f t="shared" si="10"/>
        <v>0</v>
      </c>
      <c r="I52" s="13">
        <f t="shared" si="10"/>
        <v>0</v>
      </c>
    </row>
    <row r="53" spans="2:9" ht="16.5" hidden="1" customHeight="1" x14ac:dyDescent="0.25">
      <c r="B53" s="201">
        <v>157416097.49000001</v>
      </c>
      <c r="C53" s="13">
        <f t="shared" si="10"/>
        <v>0</v>
      </c>
      <c r="D53" s="13">
        <f t="shared" si="10"/>
        <v>0</v>
      </c>
      <c r="E53" s="13">
        <f t="shared" si="10"/>
        <v>0</v>
      </c>
      <c r="F53" s="13">
        <f t="shared" si="10"/>
        <v>0</v>
      </c>
      <c r="G53" s="13">
        <f t="shared" si="10"/>
        <v>0</v>
      </c>
      <c r="H53" s="13">
        <f t="shared" si="10"/>
        <v>0</v>
      </c>
      <c r="I53" s="13">
        <f t="shared" si="10"/>
        <v>0</v>
      </c>
    </row>
    <row r="54" spans="2:9" hidden="1" x14ac:dyDescent="0.25">
      <c r="B54" s="201">
        <v>57416097.490000002</v>
      </c>
      <c r="C54" s="13">
        <f t="shared" si="10"/>
        <v>0</v>
      </c>
      <c r="D54" s="13">
        <f t="shared" si="10"/>
        <v>0</v>
      </c>
      <c r="E54" s="13">
        <f t="shared" si="10"/>
        <v>0</v>
      </c>
      <c r="F54" s="13">
        <f t="shared" si="10"/>
        <v>0</v>
      </c>
      <c r="G54" s="13">
        <f t="shared" si="10"/>
        <v>0</v>
      </c>
      <c r="H54" s="13">
        <f t="shared" si="10"/>
        <v>0</v>
      </c>
      <c r="I54" s="13">
        <f t="shared" si="10"/>
        <v>0</v>
      </c>
    </row>
    <row r="55" spans="2:9" hidden="1" x14ac:dyDescent="0.25">
      <c r="B55" s="201" t="str">
        <f>B47</f>
        <v>Masuliyati cheklangan jamiyat</v>
      </c>
      <c r="C55" s="13">
        <f t="shared" si="10"/>
        <v>0</v>
      </c>
      <c r="D55" s="13">
        <f t="shared" si="10"/>
        <v>0</v>
      </c>
      <c r="E55" s="13">
        <f t="shared" si="10"/>
        <v>0</v>
      </c>
      <c r="F55" s="13">
        <f t="shared" si="10"/>
        <v>0</v>
      </c>
      <c r="G55" s="13">
        <f t="shared" si="10"/>
        <v>0</v>
      </c>
      <c r="H55" s="13">
        <f t="shared" si="10"/>
        <v>0</v>
      </c>
      <c r="I55" s="13">
        <f t="shared" si="10"/>
        <v>0</v>
      </c>
    </row>
    <row r="56" spans="2:9" ht="26.25" customHeight="1" x14ac:dyDescent="0.25">
      <c r="B56" s="201"/>
      <c r="C56" s="13">
        <f t="shared" si="10"/>
        <v>0</v>
      </c>
      <c r="D56" s="13">
        <f t="shared" si="10"/>
        <v>0</v>
      </c>
      <c r="E56" s="13">
        <f t="shared" si="10"/>
        <v>0</v>
      </c>
      <c r="F56" s="13">
        <f t="shared" si="10"/>
        <v>0</v>
      </c>
      <c r="G56" s="13">
        <f t="shared" si="10"/>
        <v>0</v>
      </c>
      <c r="H56" s="13">
        <f t="shared" si="10"/>
        <v>0</v>
      </c>
      <c r="I56" s="13">
        <f t="shared" si="10"/>
        <v>0</v>
      </c>
    </row>
    <row r="57" spans="2:9" x14ac:dyDescent="0.25">
      <c r="B57" s="173"/>
      <c r="C57" s="173"/>
      <c r="D57" s="173"/>
      <c r="E57" s="173"/>
      <c r="F57" s="173"/>
      <c r="G57" s="173"/>
      <c r="H57" s="173"/>
      <c r="I57" s="173"/>
    </row>
    <row r="58" spans="2:9" ht="42" customHeight="1" x14ac:dyDescent="0.25">
      <c r="B58" s="501" t="s">
        <v>197</v>
      </c>
      <c r="C58" s="198">
        <f t="shared" ref="C58:I58" si="11">SUM(C51:C56)</f>
        <v>357777000000</v>
      </c>
      <c r="D58" s="198">
        <f t="shared" si="11"/>
        <v>383332500000</v>
      </c>
      <c r="E58" s="198">
        <f t="shared" si="11"/>
        <v>408888000000</v>
      </c>
      <c r="F58" s="198">
        <f t="shared" si="11"/>
        <v>434443500000</v>
      </c>
      <c r="G58" s="198">
        <f t="shared" si="11"/>
        <v>459999000000</v>
      </c>
      <c r="H58" s="198">
        <f t="shared" si="11"/>
        <v>485554500000</v>
      </c>
      <c r="I58" s="198">
        <f t="shared" si="11"/>
        <v>511110000000</v>
      </c>
    </row>
    <row r="60" spans="2:9" x14ac:dyDescent="0.25">
      <c r="C60" s="378"/>
      <c r="D60" s="378"/>
      <c r="E60" s="378"/>
      <c r="F60" s="378"/>
      <c r="G60" s="378"/>
    </row>
    <row r="61" spans="2:9" x14ac:dyDescent="0.25">
      <c r="C61" s="378"/>
    </row>
    <row r="62" spans="2:9" x14ac:dyDescent="0.25">
      <c r="D62" s="378"/>
    </row>
    <row r="63" spans="2:9" x14ac:dyDescent="0.25">
      <c r="C63" s="378"/>
      <c r="D63" s="378"/>
    </row>
    <row r="64" spans="2:9" x14ac:dyDescent="0.25">
      <c r="D64" s="379"/>
    </row>
  </sheetData>
  <mergeCells count="6">
    <mergeCell ref="D20:E20"/>
    <mergeCell ref="D16:E16"/>
    <mergeCell ref="D15:E15"/>
    <mergeCell ref="D19:E19"/>
    <mergeCell ref="D18:E18"/>
    <mergeCell ref="D17:E1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B1:K96"/>
  <sheetViews>
    <sheetView showGridLines="0" view="pageBreakPreview" zoomScale="85" zoomScaleNormal="75" zoomScaleSheetLayoutView="85" workbookViewId="0">
      <selection activeCell="C23" sqref="C23"/>
    </sheetView>
  </sheetViews>
  <sheetFormatPr defaultRowHeight="15.75" outlineLevelRow="1" x14ac:dyDescent="0.25"/>
  <cols>
    <col min="2" max="2" width="11.375" style="511" customWidth="1"/>
    <col min="3" max="3" width="22.25" style="510" customWidth="1"/>
    <col min="4" max="4" width="18.125" style="511" customWidth="1"/>
    <col min="5" max="5" width="17.125" style="512" bestFit="1" customWidth="1"/>
    <col min="6" max="6" width="17" style="511" bestFit="1" customWidth="1"/>
    <col min="7" max="7" width="17" style="511" customWidth="1"/>
    <col min="8" max="8" width="16.125" style="511" customWidth="1"/>
    <col min="9" max="10" width="16.5" style="511" bestFit="1" customWidth="1"/>
    <col min="11" max="11" width="9" style="511" customWidth="1"/>
  </cols>
  <sheetData>
    <row r="1" spans="2:10" x14ac:dyDescent="0.25">
      <c r="B1" s="3"/>
      <c r="C1" s="380"/>
      <c r="D1" s="4"/>
      <c r="F1" s="325" t="s">
        <v>198</v>
      </c>
      <c r="G1" s="325"/>
    </row>
    <row r="2" spans="2:10" ht="21" customHeight="1" thickBot="1" x14ac:dyDescent="0.35">
      <c r="B2" s="526" t="s">
        <v>199</v>
      </c>
      <c r="C2" s="527"/>
      <c r="D2" s="528"/>
      <c r="E2" s="529"/>
      <c r="F2" s="528"/>
      <c r="G2" s="509"/>
      <c r="H2" s="7"/>
    </row>
    <row r="3" spans="2:10" ht="15.75" customHeight="1" thickTop="1" x14ac:dyDescent="0.25">
      <c r="C3" s="381" t="s">
        <v>200</v>
      </c>
      <c r="D3" s="382" t="str">
        <f>+ВВОД!B46</f>
        <v>84</v>
      </c>
      <c r="E3" s="382" t="s">
        <v>201</v>
      </c>
    </row>
    <row r="4" spans="2:10" hidden="1" x14ac:dyDescent="0.25">
      <c r="C4" s="383"/>
      <c r="D4" s="384"/>
      <c r="E4" s="384"/>
    </row>
    <row r="5" spans="2:10" x14ac:dyDescent="0.25">
      <c r="C5" s="385" t="s">
        <v>202</v>
      </c>
      <c r="D5" s="386" t="str">
        <f>+ВВОД!B48</f>
        <v>24</v>
      </c>
      <c r="E5" s="386" t="s">
        <v>201</v>
      </c>
    </row>
    <row r="6" spans="2:10" x14ac:dyDescent="0.25">
      <c r="C6" s="385" t="s">
        <v>203</v>
      </c>
      <c r="D6" s="387" t="str">
        <f>+ВВОД!B50</f>
        <v>18</v>
      </c>
      <c r="E6" s="386" t="s">
        <v>204</v>
      </c>
    </row>
    <row r="7" spans="2:10" ht="12" customHeight="1" x14ac:dyDescent="0.25">
      <c r="C7" s="385" t="s">
        <v>205</v>
      </c>
      <c r="D7" s="317">
        <v>0</v>
      </c>
      <c r="E7" s="386" t="s">
        <v>204</v>
      </c>
    </row>
    <row r="8" spans="2:10" hidden="1" x14ac:dyDescent="0.25">
      <c r="C8" s="385"/>
      <c r="D8" s="386"/>
      <c r="E8" s="386"/>
    </row>
    <row r="9" spans="2:10" ht="16.5" customHeight="1" thickBot="1" x14ac:dyDescent="0.3">
      <c r="C9" s="388" t="s">
        <v>206</v>
      </c>
      <c r="D9" s="321" t="str">
        <f>+ВВОД!B44</f>
        <v>100000000</v>
      </c>
      <c r="E9" s="389" t="s">
        <v>207</v>
      </c>
      <c r="F9" s="390"/>
      <c r="G9" s="390"/>
    </row>
    <row r="10" spans="2:10" ht="16.5" customHeight="1" thickTop="1" x14ac:dyDescent="0.25"/>
    <row r="11" spans="2:10" ht="25.5" customHeight="1" x14ac:dyDescent="0.25">
      <c r="B11" s="202" t="s">
        <v>208</v>
      </c>
      <c r="C11" s="391" t="s">
        <v>209</v>
      </c>
      <c r="D11" s="202" t="s">
        <v>210</v>
      </c>
      <c r="E11" s="392" t="s">
        <v>211</v>
      </c>
      <c r="F11" s="202" t="s">
        <v>212</v>
      </c>
      <c r="G11" s="311"/>
    </row>
    <row r="12" spans="2:10" x14ac:dyDescent="0.25">
      <c r="B12" s="258">
        <v>1</v>
      </c>
      <c r="C12" s="393"/>
      <c r="D12" s="394" t="str">
        <f>D9</f>
        <v>100000000</v>
      </c>
      <c r="E12" s="395">
        <f>(D9*$D$6)/12/100</f>
        <v>1500000</v>
      </c>
      <c r="F12" s="395">
        <f t="shared" ref="F12:F43" si="0">C12+E12</f>
        <v>1500000</v>
      </c>
      <c r="G12" s="396" t="s">
        <v>213</v>
      </c>
      <c r="I12" s="397"/>
      <c r="J12" s="203"/>
    </row>
    <row r="13" spans="2:10" x14ac:dyDescent="0.25">
      <c r="B13" s="258">
        <v>2</v>
      </c>
      <c r="C13" s="393"/>
      <c r="D13" s="394">
        <f t="shared" ref="D13:D44" si="1">D12-C12</f>
        <v>100000000</v>
      </c>
      <c r="E13" s="395">
        <f>(D9*$D$6)/12/100</f>
        <v>1500000</v>
      </c>
      <c r="F13" s="395">
        <f t="shared" si="0"/>
        <v>1500000</v>
      </c>
      <c r="G13" s="396" t="s">
        <v>213</v>
      </c>
      <c r="I13" s="397"/>
      <c r="J13" s="203"/>
    </row>
    <row r="14" spans="2:10" x14ac:dyDescent="0.25">
      <c r="B14" s="258">
        <v>3</v>
      </c>
      <c r="C14" s="393"/>
      <c r="D14" s="394">
        <f t="shared" si="1"/>
        <v>100000000</v>
      </c>
      <c r="E14" s="395">
        <f>(D9*$D$6)/12/100</f>
        <v>1500000</v>
      </c>
      <c r="F14" s="395">
        <f t="shared" si="0"/>
        <v>1500000</v>
      </c>
      <c r="G14" s="396" t="s">
        <v>213</v>
      </c>
      <c r="I14" s="397"/>
      <c r="J14" s="203"/>
    </row>
    <row r="15" spans="2:10" x14ac:dyDescent="0.25">
      <c r="B15" s="258">
        <v>4</v>
      </c>
      <c r="C15" s="393"/>
      <c r="D15" s="394">
        <f t="shared" si="1"/>
        <v>100000000</v>
      </c>
      <c r="E15" s="395">
        <f t="shared" ref="E15:E46" si="2">(D12*$D$6)/12/100</f>
        <v>1500000</v>
      </c>
      <c r="F15" s="395">
        <f t="shared" si="0"/>
        <v>1500000</v>
      </c>
      <c r="G15" s="396" t="s">
        <v>213</v>
      </c>
      <c r="I15" s="397"/>
      <c r="J15" s="203"/>
    </row>
    <row r="16" spans="2:10" x14ac:dyDescent="0.25">
      <c r="B16" s="258">
        <v>5</v>
      </c>
      <c r="C16" s="393"/>
      <c r="D16" s="394">
        <f t="shared" si="1"/>
        <v>100000000</v>
      </c>
      <c r="E16" s="395">
        <f t="shared" si="2"/>
        <v>1500000</v>
      </c>
      <c r="F16" s="395">
        <f t="shared" si="0"/>
        <v>1500000</v>
      </c>
      <c r="G16" s="396" t="s">
        <v>213</v>
      </c>
      <c r="I16" s="397"/>
      <c r="J16" s="203"/>
    </row>
    <row r="17" spans="2:10" x14ac:dyDescent="0.25">
      <c r="B17" s="258">
        <v>6</v>
      </c>
      <c r="C17" s="393"/>
      <c r="D17" s="394">
        <f t="shared" si="1"/>
        <v>100000000</v>
      </c>
      <c r="E17" s="395">
        <f t="shared" si="2"/>
        <v>1500000</v>
      </c>
      <c r="F17" s="395">
        <f t="shared" si="0"/>
        <v>1500000</v>
      </c>
      <c r="G17" s="396" t="s">
        <v>213</v>
      </c>
      <c r="I17" s="397"/>
      <c r="J17" s="203"/>
    </row>
    <row r="18" spans="2:10" x14ac:dyDescent="0.25">
      <c r="B18" s="258">
        <v>7</v>
      </c>
      <c r="C18" s="393"/>
      <c r="D18" s="394">
        <f t="shared" si="1"/>
        <v>100000000</v>
      </c>
      <c r="E18" s="395">
        <f t="shared" si="2"/>
        <v>1500000</v>
      </c>
      <c r="F18" s="395">
        <f t="shared" si="0"/>
        <v>1500000</v>
      </c>
      <c r="G18" s="396" t="s">
        <v>213</v>
      </c>
      <c r="I18" s="397"/>
      <c r="J18" s="203"/>
    </row>
    <row r="19" spans="2:10" x14ac:dyDescent="0.25">
      <c r="B19" s="258">
        <v>8</v>
      </c>
      <c r="C19" s="393"/>
      <c r="D19" s="394">
        <f t="shared" si="1"/>
        <v>100000000</v>
      </c>
      <c r="E19" s="395">
        <f t="shared" si="2"/>
        <v>1500000</v>
      </c>
      <c r="F19" s="395">
        <f t="shared" si="0"/>
        <v>1500000</v>
      </c>
      <c r="G19" s="396" t="s">
        <v>213</v>
      </c>
      <c r="I19" s="397"/>
      <c r="J19" s="203"/>
    </row>
    <row r="20" spans="2:10" x14ac:dyDescent="0.25">
      <c r="B20" s="258">
        <v>9</v>
      </c>
      <c r="C20" s="393"/>
      <c r="D20" s="394">
        <f t="shared" si="1"/>
        <v>100000000</v>
      </c>
      <c r="E20" s="395">
        <f t="shared" si="2"/>
        <v>1500000</v>
      </c>
      <c r="F20" s="395">
        <f t="shared" si="0"/>
        <v>1500000</v>
      </c>
      <c r="G20" s="396" t="s">
        <v>213</v>
      </c>
      <c r="I20" s="397"/>
      <c r="J20" s="203"/>
    </row>
    <row r="21" spans="2:10" x14ac:dyDescent="0.25">
      <c r="B21" s="258">
        <v>10</v>
      </c>
      <c r="C21" s="393"/>
      <c r="D21" s="394">
        <f t="shared" si="1"/>
        <v>100000000</v>
      </c>
      <c r="E21" s="395">
        <f t="shared" si="2"/>
        <v>1500000</v>
      </c>
      <c r="F21" s="395">
        <f t="shared" si="0"/>
        <v>1500000</v>
      </c>
      <c r="G21" s="396" t="s">
        <v>213</v>
      </c>
      <c r="I21" s="397"/>
      <c r="J21" s="203"/>
    </row>
    <row r="22" spans="2:10" x14ac:dyDescent="0.25">
      <c r="B22" s="258">
        <v>11</v>
      </c>
      <c r="C22" s="393"/>
      <c r="D22" s="394">
        <f t="shared" si="1"/>
        <v>100000000</v>
      </c>
      <c r="E22" s="395">
        <f t="shared" si="2"/>
        <v>1500000</v>
      </c>
      <c r="F22" s="395">
        <f t="shared" si="0"/>
        <v>1500000</v>
      </c>
      <c r="G22" s="396" t="s">
        <v>213</v>
      </c>
      <c r="I22" s="397"/>
      <c r="J22" s="203"/>
    </row>
    <row r="23" spans="2:10" x14ac:dyDescent="0.25">
      <c r="B23" s="258">
        <v>12</v>
      </c>
      <c r="C23" s="393"/>
      <c r="D23" s="394">
        <f t="shared" si="1"/>
        <v>100000000</v>
      </c>
      <c r="E23" s="395">
        <f t="shared" si="2"/>
        <v>1500000</v>
      </c>
      <c r="F23" s="395">
        <f t="shared" si="0"/>
        <v>1500000</v>
      </c>
      <c r="G23" s="396" t="s">
        <v>213</v>
      </c>
      <c r="I23" s="397"/>
      <c r="J23" s="203"/>
    </row>
    <row r="24" spans="2:10" x14ac:dyDescent="0.25">
      <c r="B24" s="258">
        <v>13</v>
      </c>
      <c r="C24" s="393"/>
      <c r="D24" s="394">
        <f t="shared" si="1"/>
        <v>100000000</v>
      </c>
      <c r="E24" s="395">
        <f t="shared" si="2"/>
        <v>1500000</v>
      </c>
      <c r="F24" s="395">
        <f t="shared" si="0"/>
        <v>1500000</v>
      </c>
      <c r="G24" s="396" t="s">
        <v>214</v>
      </c>
      <c r="I24" s="397"/>
      <c r="J24" s="203"/>
    </row>
    <row r="25" spans="2:10" x14ac:dyDescent="0.25">
      <c r="B25" s="258">
        <v>14</v>
      </c>
      <c r="C25" s="393"/>
      <c r="D25" s="394">
        <f t="shared" si="1"/>
        <v>100000000</v>
      </c>
      <c r="E25" s="395">
        <f t="shared" si="2"/>
        <v>1500000</v>
      </c>
      <c r="F25" s="395">
        <f t="shared" si="0"/>
        <v>1500000</v>
      </c>
      <c r="G25" s="396" t="s">
        <v>214</v>
      </c>
      <c r="I25" s="397"/>
      <c r="J25" s="203"/>
    </row>
    <row r="26" spans="2:10" x14ac:dyDescent="0.25">
      <c r="B26" s="258">
        <v>15</v>
      </c>
      <c r="C26" s="393"/>
      <c r="D26" s="394">
        <f t="shared" si="1"/>
        <v>100000000</v>
      </c>
      <c r="E26" s="395">
        <f t="shared" si="2"/>
        <v>1500000</v>
      </c>
      <c r="F26" s="395">
        <f t="shared" si="0"/>
        <v>1500000</v>
      </c>
      <c r="G26" s="396" t="s">
        <v>214</v>
      </c>
      <c r="I26" s="397"/>
      <c r="J26" s="203"/>
    </row>
    <row r="27" spans="2:10" x14ac:dyDescent="0.25">
      <c r="B27" s="258">
        <v>16</v>
      </c>
      <c r="C27" s="393"/>
      <c r="D27" s="394">
        <f t="shared" si="1"/>
        <v>100000000</v>
      </c>
      <c r="E27" s="395">
        <f t="shared" si="2"/>
        <v>1500000</v>
      </c>
      <c r="F27" s="395">
        <f t="shared" si="0"/>
        <v>1500000</v>
      </c>
      <c r="G27" s="396" t="s">
        <v>214</v>
      </c>
      <c r="I27" s="397"/>
      <c r="J27" s="203"/>
    </row>
    <row r="28" spans="2:10" x14ac:dyDescent="0.25">
      <c r="B28" s="258">
        <v>17</v>
      </c>
      <c r="C28" s="393"/>
      <c r="D28" s="394">
        <f t="shared" si="1"/>
        <v>100000000</v>
      </c>
      <c r="E28" s="395">
        <f t="shared" si="2"/>
        <v>1500000</v>
      </c>
      <c r="F28" s="395">
        <f t="shared" si="0"/>
        <v>1500000</v>
      </c>
      <c r="G28" s="396" t="s">
        <v>214</v>
      </c>
      <c r="I28" s="397"/>
      <c r="J28" s="203"/>
    </row>
    <row r="29" spans="2:10" x14ac:dyDescent="0.25">
      <c r="B29" s="258">
        <v>18</v>
      </c>
      <c r="C29" s="393"/>
      <c r="D29" s="394">
        <f t="shared" si="1"/>
        <v>100000000</v>
      </c>
      <c r="E29" s="395">
        <f t="shared" si="2"/>
        <v>1500000</v>
      </c>
      <c r="F29" s="395">
        <f t="shared" si="0"/>
        <v>1500000</v>
      </c>
      <c r="G29" s="396" t="s">
        <v>214</v>
      </c>
      <c r="I29" s="397"/>
      <c r="J29" s="203"/>
    </row>
    <row r="30" spans="2:10" x14ac:dyDescent="0.25">
      <c r="B30" s="258">
        <v>19</v>
      </c>
      <c r="C30" s="393"/>
      <c r="D30" s="394">
        <f t="shared" si="1"/>
        <v>100000000</v>
      </c>
      <c r="E30" s="395">
        <f t="shared" si="2"/>
        <v>1500000</v>
      </c>
      <c r="F30" s="395">
        <f t="shared" si="0"/>
        <v>1500000</v>
      </c>
      <c r="G30" s="396" t="s">
        <v>214</v>
      </c>
      <c r="I30" s="397"/>
      <c r="J30" s="203"/>
    </row>
    <row r="31" spans="2:10" x14ac:dyDescent="0.25">
      <c r="B31" s="258">
        <v>20</v>
      </c>
      <c r="C31" s="393"/>
      <c r="D31" s="394">
        <f t="shared" si="1"/>
        <v>100000000</v>
      </c>
      <c r="E31" s="395">
        <f t="shared" si="2"/>
        <v>1500000</v>
      </c>
      <c r="F31" s="395">
        <f t="shared" si="0"/>
        <v>1500000</v>
      </c>
      <c r="G31" s="396" t="s">
        <v>214</v>
      </c>
      <c r="I31" s="397"/>
      <c r="J31" s="203"/>
    </row>
    <row r="32" spans="2:10" x14ac:dyDescent="0.25">
      <c r="B32" s="258">
        <v>21</v>
      </c>
      <c r="C32" s="393"/>
      <c r="D32" s="394">
        <f t="shared" si="1"/>
        <v>100000000</v>
      </c>
      <c r="E32" s="395">
        <f t="shared" si="2"/>
        <v>1500000</v>
      </c>
      <c r="F32" s="395">
        <f t="shared" si="0"/>
        <v>1500000</v>
      </c>
      <c r="G32" s="396" t="s">
        <v>214</v>
      </c>
      <c r="I32" s="397"/>
      <c r="J32" s="203"/>
    </row>
    <row r="33" spans="2:10" x14ac:dyDescent="0.25">
      <c r="B33" s="258">
        <v>22</v>
      </c>
      <c r="C33" s="393"/>
      <c r="D33" s="394">
        <f t="shared" si="1"/>
        <v>100000000</v>
      </c>
      <c r="E33" s="395">
        <f t="shared" si="2"/>
        <v>1500000</v>
      </c>
      <c r="F33" s="395">
        <f t="shared" si="0"/>
        <v>1500000</v>
      </c>
      <c r="G33" s="396" t="s">
        <v>214</v>
      </c>
      <c r="I33" s="397"/>
      <c r="J33" s="203"/>
    </row>
    <row r="34" spans="2:10" x14ac:dyDescent="0.25">
      <c r="B34" s="258">
        <v>23</v>
      </c>
      <c r="C34" s="393"/>
      <c r="D34" s="394">
        <f t="shared" si="1"/>
        <v>100000000</v>
      </c>
      <c r="E34" s="395">
        <f t="shared" si="2"/>
        <v>1500000</v>
      </c>
      <c r="F34" s="395">
        <f t="shared" si="0"/>
        <v>1500000</v>
      </c>
      <c r="G34" s="396" t="s">
        <v>214</v>
      </c>
      <c r="I34" s="397"/>
      <c r="J34" s="203"/>
    </row>
    <row r="35" spans="2:10" x14ac:dyDescent="0.25">
      <c r="B35" s="258">
        <v>24</v>
      </c>
      <c r="C35" s="393"/>
      <c r="D35" s="394">
        <f t="shared" si="1"/>
        <v>100000000</v>
      </c>
      <c r="E35" s="395">
        <f t="shared" si="2"/>
        <v>1500000</v>
      </c>
      <c r="F35" s="395">
        <f t="shared" si="0"/>
        <v>1500000</v>
      </c>
      <c r="G35" s="396" t="s">
        <v>214</v>
      </c>
      <c r="I35" s="397"/>
      <c r="J35" s="203"/>
    </row>
    <row r="36" spans="2:10" x14ac:dyDescent="0.25">
      <c r="B36" s="258">
        <v>25</v>
      </c>
      <c r="C36" s="395">
        <f>+D9/60</f>
        <v>1666666.6666666667</v>
      </c>
      <c r="D36" s="394">
        <f t="shared" si="1"/>
        <v>100000000</v>
      </c>
      <c r="E36" s="395">
        <f t="shared" si="2"/>
        <v>1500000</v>
      </c>
      <c r="F36" s="395">
        <f t="shared" si="0"/>
        <v>3166666.666666667</v>
      </c>
      <c r="G36" s="396" t="s">
        <v>215</v>
      </c>
      <c r="I36" s="397"/>
      <c r="J36" s="203"/>
    </row>
    <row r="37" spans="2:10" x14ac:dyDescent="0.25">
      <c r="B37" s="258">
        <v>26</v>
      </c>
      <c r="C37" s="395">
        <f>+D9/60</f>
        <v>1666666.6666666667</v>
      </c>
      <c r="D37" s="394">
        <f t="shared" si="1"/>
        <v>98333333.333333328</v>
      </c>
      <c r="E37" s="395">
        <f t="shared" si="2"/>
        <v>1500000</v>
      </c>
      <c r="F37" s="395">
        <f t="shared" si="0"/>
        <v>3166666.666666667</v>
      </c>
      <c r="G37" s="396" t="s">
        <v>215</v>
      </c>
      <c r="I37" s="397"/>
      <c r="J37" s="203"/>
    </row>
    <row r="38" spans="2:10" x14ac:dyDescent="0.25">
      <c r="B38" s="258">
        <v>27</v>
      </c>
      <c r="C38" s="395">
        <f>+D9/60</f>
        <v>1666666.6666666667</v>
      </c>
      <c r="D38" s="394">
        <f t="shared" si="1"/>
        <v>96666666.666666657</v>
      </c>
      <c r="E38" s="395">
        <f t="shared" si="2"/>
        <v>1500000</v>
      </c>
      <c r="F38" s="395">
        <f t="shared" si="0"/>
        <v>3166666.666666667</v>
      </c>
      <c r="G38" s="396" t="s">
        <v>215</v>
      </c>
      <c r="I38" s="397"/>
      <c r="J38" s="203"/>
    </row>
    <row r="39" spans="2:10" x14ac:dyDescent="0.25">
      <c r="B39" s="258">
        <v>28</v>
      </c>
      <c r="C39" s="395">
        <f>+D9/60</f>
        <v>1666666.6666666667</v>
      </c>
      <c r="D39" s="394">
        <f t="shared" si="1"/>
        <v>94999999.999999985</v>
      </c>
      <c r="E39" s="395">
        <f t="shared" si="2"/>
        <v>1500000</v>
      </c>
      <c r="F39" s="395">
        <f t="shared" si="0"/>
        <v>3166666.666666667</v>
      </c>
      <c r="G39" s="396" t="s">
        <v>215</v>
      </c>
      <c r="I39" s="397"/>
      <c r="J39" s="203"/>
    </row>
    <row r="40" spans="2:10" x14ac:dyDescent="0.25">
      <c r="B40" s="258">
        <v>29</v>
      </c>
      <c r="C40" s="395">
        <f>+D9/60</f>
        <v>1666666.6666666667</v>
      </c>
      <c r="D40" s="394">
        <f t="shared" si="1"/>
        <v>93333333.333333313</v>
      </c>
      <c r="E40" s="395">
        <f t="shared" si="2"/>
        <v>1475000</v>
      </c>
      <c r="F40" s="395">
        <f t="shared" si="0"/>
        <v>3141666.666666667</v>
      </c>
      <c r="G40" s="396" t="s">
        <v>215</v>
      </c>
      <c r="I40" s="397"/>
      <c r="J40" s="203"/>
    </row>
    <row r="41" spans="2:10" x14ac:dyDescent="0.25">
      <c r="B41" s="258">
        <v>30</v>
      </c>
      <c r="C41" s="395">
        <f>+D9/60</f>
        <v>1666666.6666666667</v>
      </c>
      <c r="D41" s="394">
        <f t="shared" si="1"/>
        <v>91666666.666666642</v>
      </c>
      <c r="E41" s="395">
        <f t="shared" si="2"/>
        <v>1449999.9999999998</v>
      </c>
      <c r="F41" s="395">
        <f t="shared" si="0"/>
        <v>3116666.6666666665</v>
      </c>
      <c r="G41" s="396" t="s">
        <v>215</v>
      </c>
      <c r="I41" s="397"/>
      <c r="J41" s="203"/>
    </row>
    <row r="42" spans="2:10" x14ac:dyDescent="0.25">
      <c r="B42" s="258">
        <v>31</v>
      </c>
      <c r="C42" s="395">
        <f>+D9/60</f>
        <v>1666666.6666666667</v>
      </c>
      <c r="D42" s="394">
        <f t="shared" si="1"/>
        <v>89999999.99999997</v>
      </c>
      <c r="E42" s="395">
        <f t="shared" si="2"/>
        <v>1424999.9999999998</v>
      </c>
      <c r="F42" s="395">
        <f t="shared" si="0"/>
        <v>3091666.6666666665</v>
      </c>
      <c r="G42" s="396" t="s">
        <v>215</v>
      </c>
      <c r="I42" s="397"/>
      <c r="J42" s="203"/>
    </row>
    <row r="43" spans="2:10" x14ac:dyDescent="0.25">
      <c r="B43" s="258">
        <v>32</v>
      </c>
      <c r="C43" s="395">
        <f>+D9/60</f>
        <v>1666666.6666666667</v>
      </c>
      <c r="D43" s="394">
        <f t="shared" si="1"/>
        <v>88333333.333333299</v>
      </c>
      <c r="E43" s="395">
        <f t="shared" si="2"/>
        <v>1399999.9999999998</v>
      </c>
      <c r="F43" s="395">
        <f t="shared" si="0"/>
        <v>3066666.6666666665</v>
      </c>
      <c r="G43" s="396" t="s">
        <v>215</v>
      </c>
      <c r="I43" s="397"/>
      <c r="J43" s="203"/>
    </row>
    <row r="44" spans="2:10" x14ac:dyDescent="0.25">
      <c r="B44" s="258">
        <v>33</v>
      </c>
      <c r="C44" s="395">
        <f>+D9/60</f>
        <v>1666666.6666666667</v>
      </c>
      <c r="D44" s="394">
        <f t="shared" si="1"/>
        <v>86666666.666666627</v>
      </c>
      <c r="E44" s="395">
        <f t="shared" si="2"/>
        <v>1374999.9999999998</v>
      </c>
      <c r="F44" s="395">
        <f t="shared" ref="F44:F75" si="3">C44+E44</f>
        <v>3041666.6666666665</v>
      </c>
      <c r="G44" s="396" t="s">
        <v>215</v>
      </c>
      <c r="I44" s="397"/>
      <c r="J44" s="203"/>
    </row>
    <row r="45" spans="2:10" x14ac:dyDescent="0.25">
      <c r="B45" s="258">
        <v>34</v>
      </c>
      <c r="C45" s="395">
        <f>+D9/60</f>
        <v>1666666.6666666667</v>
      </c>
      <c r="D45" s="394">
        <f t="shared" ref="D45:D76" si="4">D44-C44</f>
        <v>84999999.999999955</v>
      </c>
      <c r="E45" s="395">
        <f t="shared" si="2"/>
        <v>1349999.9999999998</v>
      </c>
      <c r="F45" s="395">
        <f t="shared" si="3"/>
        <v>3016666.6666666665</v>
      </c>
      <c r="G45" s="396" t="s">
        <v>215</v>
      </c>
      <c r="I45" s="397"/>
      <c r="J45" s="203"/>
    </row>
    <row r="46" spans="2:10" x14ac:dyDescent="0.25">
      <c r="B46" s="258">
        <v>35</v>
      </c>
      <c r="C46" s="395">
        <f>+D9/60</f>
        <v>1666666.6666666667</v>
      </c>
      <c r="D46" s="394">
        <f t="shared" si="4"/>
        <v>83333333.333333284</v>
      </c>
      <c r="E46" s="395">
        <f t="shared" si="2"/>
        <v>1324999.9999999993</v>
      </c>
      <c r="F46" s="395">
        <f t="shared" si="3"/>
        <v>2991666.666666666</v>
      </c>
      <c r="G46" s="396" t="s">
        <v>215</v>
      </c>
      <c r="I46" s="397"/>
      <c r="J46" s="203"/>
    </row>
    <row r="47" spans="2:10" x14ac:dyDescent="0.25">
      <c r="B47" s="258">
        <v>36</v>
      </c>
      <c r="C47" s="395">
        <f>+D9/60</f>
        <v>1666666.6666666667</v>
      </c>
      <c r="D47" s="394">
        <f t="shared" si="4"/>
        <v>81666666.666666612</v>
      </c>
      <c r="E47" s="395">
        <f t="shared" ref="E47:E78" si="5">(D44*$D$6)/12/100</f>
        <v>1299999.9999999993</v>
      </c>
      <c r="F47" s="395">
        <f t="shared" si="3"/>
        <v>2966666.666666666</v>
      </c>
      <c r="G47" s="396" t="s">
        <v>215</v>
      </c>
      <c r="I47" s="397"/>
      <c r="J47" s="203"/>
    </row>
    <row r="48" spans="2:10" x14ac:dyDescent="0.25">
      <c r="B48" s="258">
        <v>37</v>
      </c>
      <c r="C48" s="395">
        <f>+D9/60</f>
        <v>1666666.6666666667</v>
      </c>
      <c r="D48" s="394">
        <f t="shared" si="4"/>
        <v>79999999.99999994</v>
      </c>
      <c r="E48" s="395">
        <f t="shared" si="5"/>
        <v>1274999.9999999993</v>
      </c>
      <c r="F48" s="395">
        <f t="shared" si="3"/>
        <v>2941666.666666666</v>
      </c>
      <c r="G48" s="396" t="s">
        <v>216</v>
      </c>
      <c r="I48" s="397"/>
      <c r="J48" s="203"/>
    </row>
    <row r="49" spans="2:10" x14ac:dyDescent="0.25">
      <c r="B49" s="258">
        <v>38</v>
      </c>
      <c r="C49" s="395">
        <f>+D9/60</f>
        <v>1666666.6666666667</v>
      </c>
      <c r="D49" s="394">
        <f t="shared" si="4"/>
        <v>78333333.333333269</v>
      </c>
      <c r="E49" s="395">
        <f t="shared" si="5"/>
        <v>1249999.9999999993</v>
      </c>
      <c r="F49" s="395">
        <f t="shared" si="3"/>
        <v>2916666.666666666</v>
      </c>
      <c r="G49" s="396" t="s">
        <v>216</v>
      </c>
      <c r="I49" s="397"/>
      <c r="J49" s="203"/>
    </row>
    <row r="50" spans="2:10" x14ac:dyDescent="0.25">
      <c r="B50" s="258">
        <v>39</v>
      </c>
      <c r="C50" s="395">
        <f>+D9/60</f>
        <v>1666666.6666666667</v>
      </c>
      <c r="D50" s="394">
        <f t="shared" si="4"/>
        <v>76666666.666666597</v>
      </c>
      <c r="E50" s="395">
        <f t="shared" si="5"/>
        <v>1224999.9999999993</v>
      </c>
      <c r="F50" s="395">
        <f t="shared" si="3"/>
        <v>2891666.666666666</v>
      </c>
      <c r="G50" s="396" t="s">
        <v>216</v>
      </c>
      <c r="I50" s="397"/>
      <c r="J50" s="203"/>
    </row>
    <row r="51" spans="2:10" x14ac:dyDescent="0.25">
      <c r="B51" s="258">
        <v>40</v>
      </c>
      <c r="C51" s="395">
        <f>+D9/60</f>
        <v>1666666.6666666667</v>
      </c>
      <c r="D51" s="394">
        <f t="shared" si="4"/>
        <v>74999999.999999925</v>
      </c>
      <c r="E51" s="395">
        <f t="shared" si="5"/>
        <v>1199999.9999999993</v>
      </c>
      <c r="F51" s="395">
        <f t="shared" si="3"/>
        <v>2866666.666666666</v>
      </c>
      <c r="G51" s="396" t="s">
        <v>216</v>
      </c>
      <c r="I51" s="397"/>
      <c r="J51" s="203"/>
    </row>
    <row r="52" spans="2:10" x14ac:dyDescent="0.25">
      <c r="B52" s="258">
        <v>41</v>
      </c>
      <c r="C52" s="395">
        <f>+D9/60</f>
        <v>1666666.6666666667</v>
      </c>
      <c r="D52" s="394">
        <f t="shared" si="4"/>
        <v>73333333.333333254</v>
      </c>
      <c r="E52" s="395">
        <f t="shared" si="5"/>
        <v>1174999.9999999991</v>
      </c>
      <c r="F52" s="395">
        <f t="shared" si="3"/>
        <v>2841666.666666666</v>
      </c>
      <c r="G52" s="396" t="s">
        <v>216</v>
      </c>
      <c r="I52" s="397"/>
      <c r="J52" s="203"/>
    </row>
    <row r="53" spans="2:10" x14ac:dyDescent="0.25">
      <c r="B53" s="258">
        <v>42</v>
      </c>
      <c r="C53" s="395">
        <f>+D9/60</f>
        <v>1666666.6666666667</v>
      </c>
      <c r="D53" s="394">
        <f t="shared" si="4"/>
        <v>71666666.666666582</v>
      </c>
      <c r="E53" s="395">
        <f t="shared" si="5"/>
        <v>1149999.9999999991</v>
      </c>
      <c r="F53" s="395">
        <f t="shared" si="3"/>
        <v>2816666.666666666</v>
      </c>
      <c r="G53" s="396" t="s">
        <v>216</v>
      </c>
      <c r="I53" s="397"/>
      <c r="J53" s="203"/>
    </row>
    <row r="54" spans="2:10" x14ac:dyDescent="0.25">
      <c r="B54" s="258">
        <v>43</v>
      </c>
      <c r="C54" s="395">
        <f>+D9/60</f>
        <v>1666666.6666666667</v>
      </c>
      <c r="D54" s="394">
        <f t="shared" si="4"/>
        <v>69999999.999999911</v>
      </c>
      <c r="E54" s="395">
        <f t="shared" si="5"/>
        <v>1124999.9999999988</v>
      </c>
      <c r="F54" s="395">
        <f t="shared" si="3"/>
        <v>2791666.6666666656</v>
      </c>
      <c r="G54" s="396" t="s">
        <v>216</v>
      </c>
      <c r="I54" s="397"/>
      <c r="J54" s="203"/>
    </row>
    <row r="55" spans="2:10" x14ac:dyDescent="0.25">
      <c r="B55" s="258">
        <v>44</v>
      </c>
      <c r="C55" s="395">
        <f>+D9/60</f>
        <v>1666666.6666666667</v>
      </c>
      <c r="D55" s="394">
        <f t="shared" si="4"/>
        <v>68333333.333333239</v>
      </c>
      <c r="E55" s="395">
        <f t="shared" si="5"/>
        <v>1099999.9999999988</v>
      </c>
      <c r="F55" s="395">
        <f t="shared" si="3"/>
        <v>2766666.6666666656</v>
      </c>
      <c r="G55" s="396" t="s">
        <v>216</v>
      </c>
      <c r="I55" s="397"/>
      <c r="J55" s="203"/>
    </row>
    <row r="56" spans="2:10" x14ac:dyDescent="0.25">
      <c r="B56" s="258">
        <v>45</v>
      </c>
      <c r="C56" s="395">
        <f>+D9/60</f>
        <v>1666666.6666666667</v>
      </c>
      <c r="D56" s="394">
        <f t="shared" si="4"/>
        <v>66666666.666666575</v>
      </c>
      <c r="E56" s="395">
        <f t="shared" si="5"/>
        <v>1074999.9999999988</v>
      </c>
      <c r="F56" s="395">
        <f t="shared" si="3"/>
        <v>2741666.6666666656</v>
      </c>
      <c r="G56" s="396" t="s">
        <v>216</v>
      </c>
      <c r="I56" s="397"/>
      <c r="J56" s="203"/>
    </row>
    <row r="57" spans="2:10" x14ac:dyDescent="0.25">
      <c r="B57" s="258">
        <v>46</v>
      </c>
      <c r="C57" s="395">
        <f>+D9/60</f>
        <v>1666666.6666666667</v>
      </c>
      <c r="D57" s="394">
        <f t="shared" si="4"/>
        <v>64999999.999999911</v>
      </c>
      <c r="E57" s="395">
        <f t="shared" si="5"/>
        <v>1049999.9999999986</v>
      </c>
      <c r="F57" s="395">
        <f t="shared" si="3"/>
        <v>2716666.6666666651</v>
      </c>
      <c r="G57" s="396" t="s">
        <v>216</v>
      </c>
      <c r="I57" s="397"/>
      <c r="J57" s="203"/>
    </row>
    <row r="58" spans="2:10" x14ac:dyDescent="0.25">
      <c r="B58" s="258">
        <v>47</v>
      </c>
      <c r="C58" s="395">
        <f>+D9/60</f>
        <v>1666666.6666666667</v>
      </c>
      <c r="D58" s="394">
        <f t="shared" si="4"/>
        <v>63333333.333333246</v>
      </c>
      <c r="E58" s="395">
        <f t="shared" si="5"/>
        <v>1024999.9999999986</v>
      </c>
      <c r="F58" s="395">
        <f t="shared" si="3"/>
        <v>2691666.6666666651</v>
      </c>
      <c r="G58" s="396" t="s">
        <v>216</v>
      </c>
      <c r="I58" s="397"/>
      <c r="J58" s="203"/>
    </row>
    <row r="59" spans="2:10" x14ac:dyDescent="0.25">
      <c r="B59" s="258">
        <v>48</v>
      </c>
      <c r="C59" s="395">
        <f>+D9/60</f>
        <v>1666666.6666666667</v>
      </c>
      <c r="D59" s="394">
        <f t="shared" si="4"/>
        <v>61666666.666666582</v>
      </c>
      <c r="E59" s="395">
        <f t="shared" si="5"/>
        <v>999999.9999999986</v>
      </c>
      <c r="F59" s="395">
        <f t="shared" si="3"/>
        <v>2666666.6666666651</v>
      </c>
      <c r="G59" s="396" t="s">
        <v>216</v>
      </c>
      <c r="I59" s="397"/>
      <c r="J59" s="203"/>
    </row>
    <row r="60" spans="2:10" x14ac:dyDescent="0.25">
      <c r="B60" s="258">
        <v>49</v>
      </c>
      <c r="C60" s="395">
        <f>+D9/60</f>
        <v>1666666.6666666667</v>
      </c>
      <c r="D60" s="394">
        <f t="shared" si="4"/>
        <v>59999999.999999918</v>
      </c>
      <c r="E60" s="395">
        <f t="shared" si="5"/>
        <v>974999.9999999986</v>
      </c>
      <c r="F60" s="395">
        <f t="shared" si="3"/>
        <v>2641666.6666666651</v>
      </c>
      <c r="G60" s="396" t="s">
        <v>217</v>
      </c>
      <c r="I60" s="397"/>
      <c r="J60" s="203"/>
    </row>
    <row r="61" spans="2:10" x14ac:dyDescent="0.25">
      <c r="B61" s="258">
        <v>50</v>
      </c>
      <c r="C61" s="395">
        <f>+D9/60</f>
        <v>1666666.6666666667</v>
      </c>
      <c r="D61" s="394">
        <f t="shared" si="4"/>
        <v>58333333.333333254</v>
      </c>
      <c r="E61" s="395">
        <f t="shared" si="5"/>
        <v>949999.9999999986</v>
      </c>
      <c r="F61" s="395">
        <f t="shared" si="3"/>
        <v>2616666.6666666651</v>
      </c>
      <c r="G61" s="396" t="s">
        <v>217</v>
      </c>
      <c r="I61" s="397"/>
      <c r="J61" s="203"/>
    </row>
    <row r="62" spans="2:10" x14ac:dyDescent="0.25">
      <c r="B62" s="258">
        <v>51</v>
      </c>
      <c r="C62" s="395">
        <f>+D9/60</f>
        <v>1666666.6666666667</v>
      </c>
      <c r="D62" s="394">
        <f t="shared" si="4"/>
        <v>56666666.66666659</v>
      </c>
      <c r="E62" s="395">
        <f t="shared" si="5"/>
        <v>924999.99999999884</v>
      </c>
      <c r="F62" s="395">
        <f t="shared" si="3"/>
        <v>2591666.6666666656</v>
      </c>
      <c r="G62" s="396" t="s">
        <v>217</v>
      </c>
      <c r="I62" s="397"/>
      <c r="J62" s="203"/>
    </row>
    <row r="63" spans="2:10" x14ac:dyDescent="0.25">
      <c r="B63" s="258">
        <v>52</v>
      </c>
      <c r="C63" s="395">
        <f>+D9/60</f>
        <v>1666666.6666666667</v>
      </c>
      <c r="D63" s="394">
        <f t="shared" si="4"/>
        <v>54999999.999999925</v>
      </c>
      <c r="E63" s="395">
        <f t="shared" si="5"/>
        <v>899999.99999999884</v>
      </c>
      <c r="F63" s="395">
        <f t="shared" si="3"/>
        <v>2566666.6666666656</v>
      </c>
      <c r="G63" s="396" t="s">
        <v>217</v>
      </c>
      <c r="I63" s="397"/>
      <c r="J63" s="203"/>
    </row>
    <row r="64" spans="2:10" x14ac:dyDescent="0.25">
      <c r="B64" s="258">
        <v>53</v>
      </c>
      <c r="C64" s="395">
        <f>+D9/60</f>
        <v>1666666.6666666667</v>
      </c>
      <c r="D64" s="394">
        <f t="shared" si="4"/>
        <v>53333333.333333261</v>
      </c>
      <c r="E64" s="395">
        <f t="shared" si="5"/>
        <v>874999.99999999884</v>
      </c>
      <c r="F64" s="395">
        <f t="shared" si="3"/>
        <v>2541666.6666666656</v>
      </c>
      <c r="G64" s="396" t="s">
        <v>217</v>
      </c>
      <c r="I64" s="397"/>
      <c r="J64" s="203"/>
    </row>
    <row r="65" spans="2:10" x14ac:dyDescent="0.25">
      <c r="B65" s="258">
        <v>54</v>
      </c>
      <c r="C65" s="395">
        <f>+D9/60</f>
        <v>1666666.6666666667</v>
      </c>
      <c r="D65" s="394">
        <f t="shared" si="4"/>
        <v>51666666.666666597</v>
      </c>
      <c r="E65" s="395">
        <f t="shared" si="5"/>
        <v>849999.99999999884</v>
      </c>
      <c r="F65" s="395">
        <f t="shared" si="3"/>
        <v>2516666.6666666656</v>
      </c>
      <c r="G65" s="396" t="s">
        <v>217</v>
      </c>
      <c r="I65" s="397"/>
      <c r="J65" s="203"/>
    </row>
    <row r="66" spans="2:10" x14ac:dyDescent="0.25">
      <c r="B66" s="258">
        <v>55</v>
      </c>
      <c r="C66" s="395">
        <f>+D9/60</f>
        <v>1666666.6666666667</v>
      </c>
      <c r="D66" s="394">
        <f t="shared" si="4"/>
        <v>49999999.999999933</v>
      </c>
      <c r="E66" s="395">
        <f t="shared" si="5"/>
        <v>824999.99999999895</v>
      </c>
      <c r="F66" s="395">
        <f t="shared" si="3"/>
        <v>2491666.6666666656</v>
      </c>
      <c r="G66" s="396" t="s">
        <v>217</v>
      </c>
      <c r="I66" s="397"/>
      <c r="J66" s="203"/>
    </row>
    <row r="67" spans="2:10" x14ac:dyDescent="0.25">
      <c r="B67" s="258">
        <v>56</v>
      </c>
      <c r="C67" s="395">
        <f>+D9/60</f>
        <v>1666666.6666666667</v>
      </c>
      <c r="D67" s="394">
        <f t="shared" si="4"/>
        <v>48333333.333333269</v>
      </c>
      <c r="E67" s="395">
        <f t="shared" si="5"/>
        <v>799999.99999999895</v>
      </c>
      <c r="F67" s="395">
        <f t="shared" si="3"/>
        <v>2466666.6666666656</v>
      </c>
      <c r="G67" s="396" t="s">
        <v>217</v>
      </c>
      <c r="I67" s="397"/>
      <c r="J67" s="203"/>
    </row>
    <row r="68" spans="2:10" x14ac:dyDescent="0.25">
      <c r="B68" s="258">
        <v>57</v>
      </c>
      <c r="C68" s="395">
        <f>+D9/60</f>
        <v>1666666.6666666667</v>
      </c>
      <c r="D68" s="394">
        <f t="shared" si="4"/>
        <v>46666666.666666605</v>
      </c>
      <c r="E68" s="395">
        <f t="shared" si="5"/>
        <v>774999.99999999895</v>
      </c>
      <c r="F68" s="395">
        <f t="shared" si="3"/>
        <v>2441666.6666666656</v>
      </c>
      <c r="G68" s="396" t="s">
        <v>217</v>
      </c>
      <c r="I68" s="397"/>
      <c r="J68" s="203"/>
    </row>
    <row r="69" spans="2:10" x14ac:dyDescent="0.25">
      <c r="B69" s="258">
        <v>58</v>
      </c>
      <c r="C69" s="395">
        <f>+D9/60</f>
        <v>1666666.6666666667</v>
      </c>
      <c r="D69" s="394">
        <f t="shared" si="4"/>
        <v>44999999.99999994</v>
      </c>
      <c r="E69" s="395">
        <f t="shared" si="5"/>
        <v>749999.99999999895</v>
      </c>
      <c r="F69" s="395">
        <f t="shared" si="3"/>
        <v>2416666.6666666656</v>
      </c>
      <c r="G69" s="396" t="s">
        <v>217</v>
      </c>
      <c r="I69" s="397"/>
      <c r="J69" s="203"/>
    </row>
    <row r="70" spans="2:10" x14ac:dyDescent="0.25">
      <c r="B70" s="258">
        <v>59</v>
      </c>
      <c r="C70" s="395">
        <f>+D9/60</f>
        <v>1666666.6666666667</v>
      </c>
      <c r="D70" s="394">
        <f t="shared" si="4"/>
        <v>43333333.333333276</v>
      </c>
      <c r="E70" s="395">
        <f t="shared" si="5"/>
        <v>724999.99999999895</v>
      </c>
      <c r="F70" s="395">
        <f t="shared" si="3"/>
        <v>2391666.6666666656</v>
      </c>
      <c r="G70" s="396" t="s">
        <v>217</v>
      </c>
      <c r="I70" s="397"/>
      <c r="J70" s="203"/>
    </row>
    <row r="71" spans="2:10" x14ac:dyDescent="0.25">
      <c r="B71" s="258">
        <v>60</v>
      </c>
      <c r="C71" s="395">
        <f>+D9/60</f>
        <v>1666666.6666666667</v>
      </c>
      <c r="D71" s="394">
        <f t="shared" si="4"/>
        <v>41666666.666666612</v>
      </c>
      <c r="E71" s="395">
        <f t="shared" si="5"/>
        <v>699999.99999999907</v>
      </c>
      <c r="F71" s="395">
        <f t="shared" si="3"/>
        <v>2366666.666666666</v>
      </c>
      <c r="G71" s="396" t="s">
        <v>217</v>
      </c>
      <c r="I71" s="397"/>
      <c r="J71" s="203"/>
    </row>
    <row r="72" spans="2:10" x14ac:dyDescent="0.25">
      <c r="B72" s="258">
        <v>61</v>
      </c>
      <c r="C72" s="395">
        <f>+D9/60</f>
        <v>1666666.6666666667</v>
      </c>
      <c r="D72" s="394">
        <f t="shared" si="4"/>
        <v>39999999.999999948</v>
      </c>
      <c r="E72" s="395">
        <f t="shared" si="5"/>
        <v>674999.99999999907</v>
      </c>
      <c r="F72" s="395">
        <f t="shared" si="3"/>
        <v>2341666.666666666</v>
      </c>
      <c r="G72" s="396" t="s">
        <v>218</v>
      </c>
      <c r="I72" s="397"/>
      <c r="J72" s="203"/>
    </row>
    <row r="73" spans="2:10" x14ac:dyDescent="0.25">
      <c r="B73" s="258">
        <v>62</v>
      </c>
      <c r="C73" s="395">
        <f>+D9/60</f>
        <v>1666666.6666666667</v>
      </c>
      <c r="D73" s="394">
        <f t="shared" si="4"/>
        <v>38333333.333333284</v>
      </c>
      <c r="E73" s="395">
        <f t="shared" si="5"/>
        <v>649999.99999999907</v>
      </c>
      <c r="F73" s="395">
        <f t="shared" si="3"/>
        <v>2316666.666666666</v>
      </c>
      <c r="G73" s="396" t="s">
        <v>218</v>
      </c>
      <c r="I73" s="397"/>
      <c r="J73" s="203"/>
    </row>
    <row r="74" spans="2:10" x14ac:dyDescent="0.25">
      <c r="B74" s="258">
        <v>63</v>
      </c>
      <c r="C74" s="395">
        <f>+D9/60</f>
        <v>1666666.6666666667</v>
      </c>
      <c r="D74" s="394">
        <f t="shared" si="4"/>
        <v>36666666.666666619</v>
      </c>
      <c r="E74" s="395">
        <f t="shared" si="5"/>
        <v>624999.99999999919</v>
      </c>
      <c r="F74" s="395">
        <f t="shared" si="3"/>
        <v>2291666.666666666</v>
      </c>
      <c r="G74" s="396" t="s">
        <v>218</v>
      </c>
      <c r="I74" s="397"/>
      <c r="J74" s="203"/>
    </row>
    <row r="75" spans="2:10" x14ac:dyDescent="0.25">
      <c r="B75" s="258">
        <v>64</v>
      </c>
      <c r="C75" s="395">
        <f>+D9/60</f>
        <v>1666666.6666666667</v>
      </c>
      <c r="D75" s="394">
        <f t="shared" si="4"/>
        <v>34999999.999999955</v>
      </c>
      <c r="E75" s="395">
        <f t="shared" si="5"/>
        <v>599999.99999999919</v>
      </c>
      <c r="F75" s="395">
        <f t="shared" si="3"/>
        <v>2266666.666666666</v>
      </c>
      <c r="G75" s="396" t="s">
        <v>218</v>
      </c>
      <c r="I75" s="397"/>
      <c r="J75" s="203"/>
    </row>
    <row r="76" spans="2:10" x14ac:dyDescent="0.25">
      <c r="B76" s="258">
        <v>65</v>
      </c>
      <c r="C76" s="395">
        <f>+D9/60</f>
        <v>1666666.6666666667</v>
      </c>
      <c r="D76" s="394">
        <f t="shared" si="4"/>
        <v>33333333.333333287</v>
      </c>
      <c r="E76" s="395">
        <f t="shared" si="5"/>
        <v>574999.99999999919</v>
      </c>
      <c r="F76" s="395">
        <f t="shared" ref="F76:F96" si="6">C76+E76</f>
        <v>2241666.666666666</v>
      </c>
      <c r="G76" s="396" t="s">
        <v>218</v>
      </c>
      <c r="I76" s="397"/>
      <c r="J76" s="203"/>
    </row>
    <row r="77" spans="2:10" x14ac:dyDescent="0.25">
      <c r="B77" s="258">
        <v>66</v>
      </c>
      <c r="C77" s="395">
        <f>+D9/60</f>
        <v>1666666.6666666667</v>
      </c>
      <c r="D77" s="394">
        <f t="shared" ref="D77:D95" si="7">D76-C76</f>
        <v>31666666.666666619</v>
      </c>
      <c r="E77" s="395">
        <f t="shared" si="5"/>
        <v>549999.9999999993</v>
      </c>
      <c r="F77" s="395">
        <f t="shared" si="6"/>
        <v>2216666.666666666</v>
      </c>
      <c r="G77" s="396" t="s">
        <v>218</v>
      </c>
      <c r="I77" s="397"/>
      <c r="J77" s="203"/>
    </row>
    <row r="78" spans="2:10" x14ac:dyDescent="0.25">
      <c r="B78" s="258">
        <v>67</v>
      </c>
      <c r="C78" s="395">
        <f>+D9/60</f>
        <v>1666666.6666666667</v>
      </c>
      <c r="D78" s="394">
        <f t="shared" si="7"/>
        <v>29999999.999999952</v>
      </c>
      <c r="E78" s="395">
        <f t="shared" si="5"/>
        <v>524999.9999999993</v>
      </c>
      <c r="F78" s="395">
        <f t="shared" si="6"/>
        <v>2191666.666666666</v>
      </c>
      <c r="G78" s="396" t="s">
        <v>218</v>
      </c>
      <c r="I78" s="397"/>
      <c r="J78" s="203"/>
    </row>
    <row r="79" spans="2:10" x14ac:dyDescent="0.25">
      <c r="B79" s="258">
        <v>68</v>
      </c>
      <c r="C79" s="395">
        <f>+D9/60</f>
        <v>1666666.6666666667</v>
      </c>
      <c r="D79" s="394">
        <f t="shared" si="7"/>
        <v>28333333.333333284</v>
      </c>
      <c r="E79" s="395">
        <f t="shared" ref="E79:E95" si="8">(D76*$D$6)/12/100</f>
        <v>499999.9999999993</v>
      </c>
      <c r="F79" s="395">
        <f t="shared" si="6"/>
        <v>2166666.666666666</v>
      </c>
      <c r="G79" s="396" t="s">
        <v>218</v>
      </c>
      <c r="I79" s="397"/>
      <c r="J79" s="203"/>
    </row>
    <row r="80" spans="2:10" x14ac:dyDescent="0.25">
      <c r="B80" s="258">
        <v>69</v>
      </c>
      <c r="C80" s="395">
        <f>+D9/60</f>
        <v>1666666.6666666667</v>
      </c>
      <c r="D80" s="394">
        <f t="shared" si="7"/>
        <v>26666666.666666616</v>
      </c>
      <c r="E80" s="395">
        <f t="shared" si="8"/>
        <v>474999.9999999993</v>
      </c>
      <c r="F80" s="395">
        <f t="shared" si="6"/>
        <v>2141666.666666666</v>
      </c>
      <c r="G80" s="396" t="s">
        <v>218</v>
      </c>
      <c r="I80" s="397"/>
      <c r="J80" s="203"/>
    </row>
    <row r="81" spans="2:11" x14ac:dyDescent="0.25">
      <c r="B81" s="258">
        <v>70</v>
      </c>
      <c r="C81" s="395">
        <f>+D9/60</f>
        <v>1666666.6666666667</v>
      </c>
      <c r="D81" s="394">
        <f t="shared" si="7"/>
        <v>24999999.999999948</v>
      </c>
      <c r="E81" s="395">
        <f t="shared" si="8"/>
        <v>449999.9999999993</v>
      </c>
      <c r="F81" s="395">
        <f t="shared" si="6"/>
        <v>2116666.666666666</v>
      </c>
      <c r="G81" s="396" t="s">
        <v>218</v>
      </c>
      <c r="I81" s="397"/>
      <c r="J81" s="203"/>
    </row>
    <row r="82" spans="2:11" x14ac:dyDescent="0.25">
      <c r="B82" s="258">
        <v>71</v>
      </c>
      <c r="C82" s="395">
        <f>+D9/60</f>
        <v>1666666.6666666667</v>
      </c>
      <c r="D82" s="394">
        <f t="shared" si="7"/>
        <v>23333333.33333328</v>
      </c>
      <c r="E82" s="395">
        <f t="shared" si="8"/>
        <v>424999.99999999924</v>
      </c>
      <c r="F82" s="395">
        <f t="shared" si="6"/>
        <v>2091666.666666666</v>
      </c>
      <c r="G82" s="396" t="s">
        <v>218</v>
      </c>
      <c r="I82" s="397"/>
      <c r="J82" s="203"/>
    </row>
    <row r="83" spans="2:11" outlineLevel="1" x14ac:dyDescent="0.25">
      <c r="B83" s="258">
        <v>72</v>
      </c>
      <c r="C83" s="395">
        <f>+D9/60</f>
        <v>1666666.6666666667</v>
      </c>
      <c r="D83" s="394">
        <f t="shared" si="7"/>
        <v>21666666.666666612</v>
      </c>
      <c r="E83" s="395">
        <f t="shared" si="8"/>
        <v>399999.99999999924</v>
      </c>
      <c r="F83" s="395">
        <f t="shared" si="6"/>
        <v>2066666.666666666</v>
      </c>
      <c r="G83" s="396" t="s">
        <v>218</v>
      </c>
      <c r="I83" s="397"/>
      <c r="J83" s="203"/>
    </row>
    <row r="84" spans="2:11" outlineLevel="1" x14ac:dyDescent="0.25">
      <c r="B84" s="258">
        <v>73</v>
      </c>
      <c r="C84" s="395">
        <f>+D9/60</f>
        <v>1666666.6666666667</v>
      </c>
      <c r="D84" s="394">
        <f t="shared" si="7"/>
        <v>19999999.999999944</v>
      </c>
      <c r="E84" s="395">
        <f t="shared" si="8"/>
        <v>374999.99999999919</v>
      </c>
      <c r="F84" s="395">
        <f t="shared" si="6"/>
        <v>2041666.666666666</v>
      </c>
      <c r="G84" s="396" t="s">
        <v>219</v>
      </c>
      <c r="I84" s="397"/>
      <c r="J84" s="203"/>
    </row>
    <row r="85" spans="2:11" outlineLevel="1" x14ac:dyDescent="0.25">
      <c r="B85" s="258">
        <v>74</v>
      </c>
      <c r="C85" s="395">
        <f>+D9/60</f>
        <v>1666666.6666666667</v>
      </c>
      <c r="D85" s="394">
        <f t="shared" si="7"/>
        <v>18333333.333333276</v>
      </c>
      <c r="E85" s="395">
        <f t="shared" si="8"/>
        <v>349999.99999999919</v>
      </c>
      <c r="F85" s="395">
        <f t="shared" si="6"/>
        <v>2016666.666666666</v>
      </c>
      <c r="G85" s="396" t="s">
        <v>219</v>
      </c>
      <c r="I85" s="397"/>
      <c r="J85" s="203"/>
    </row>
    <row r="86" spans="2:11" outlineLevel="1" x14ac:dyDescent="0.25">
      <c r="B86" s="258">
        <v>75</v>
      </c>
      <c r="C86" s="395">
        <f>+D9/60</f>
        <v>1666666.6666666667</v>
      </c>
      <c r="D86" s="394">
        <f t="shared" si="7"/>
        <v>16666666.66666661</v>
      </c>
      <c r="E86" s="395">
        <f t="shared" si="8"/>
        <v>324999.99999999924</v>
      </c>
      <c r="F86" s="395">
        <f t="shared" si="6"/>
        <v>1991666.666666666</v>
      </c>
      <c r="G86" s="396" t="s">
        <v>219</v>
      </c>
      <c r="I86" s="397"/>
      <c r="J86" s="203"/>
    </row>
    <row r="87" spans="2:11" outlineLevel="1" x14ac:dyDescent="0.25">
      <c r="B87" s="258">
        <v>76</v>
      </c>
      <c r="C87" s="395">
        <f>+D9/60</f>
        <v>1666666.6666666667</v>
      </c>
      <c r="D87" s="394">
        <f t="shared" si="7"/>
        <v>14999999.999999944</v>
      </c>
      <c r="E87" s="395">
        <f t="shared" si="8"/>
        <v>299999.99999999913</v>
      </c>
      <c r="F87" s="395">
        <f t="shared" si="6"/>
        <v>1966666.6666666658</v>
      </c>
      <c r="G87" s="396" t="s">
        <v>219</v>
      </c>
      <c r="I87" s="397"/>
      <c r="J87" s="203"/>
    </row>
    <row r="88" spans="2:11" outlineLevel="1" x14ac:dyDescent="0.25">
      <c r="B88" s="258">
        <v>77</v>
      </c>
      <c r="C88" s="395">
        <f>+D9/60</f>
        <v>1666666.6666666667</v>
      </c>
      <c r="D88" s="394">
        <f t="shared" si="7"/>
        <v>13333333.333333278</v>
      </c>
      <c r="E88" s="395">
        <f t="shared" si="8"/>
        <v>274999.99999999913</v>
      </c>
      <c r="F88" s="395">
        <f t="shared" si="6"/>
        <v>1941666.6666666658</v>
      </c>
      <c r="G88" s="396" t="s">
        <v>219</v>
      </c>
      <c r="I88" s="397"/>
      <c r="J88" s="203"/>
    </row>
    <row r="89" spans="2:11" outlineLevel="1" x14ac:dyDescent="0.25">
      <c r="B89" s="258">
        <v>78</v>
      </c>
      <c r="C89" s="395">
        <f>+D9/60</f>
        <v>1666666.6666666667</v>
      </c>
      <c r="D89" s="394">
        <f t="shared" si="7"/>
        <v>11666666.666666612</v>
      </c>
      <c r="E89" s="395">
        <f t="shared" si="8"/>
        <v>249999.99999999916</v>
      </c>
      <c r="F89" s="395">
        <f t="shared" si="6"/>
        <v>1916666.6666666658</v>
      </c>
      <c r="G89" s="396" t="s">
        <v>219</v>
      </c>
      <c r="I89" s="397"/>
      <c r="J89" s="203"/>
    </row>
    <row r="90" spans="2:11" outlineLevel="1" x14ac:dyDescent="0.25">
      <c r="B90" s="258">
        <v>79</v>
      </c>
      <c r="C90" s="395">
        <f>+D9/60</f>
        <v>1666666.6666666667</v>
      </c>
      <c r="D90" s="394">
        <f t="shared" si="7"/>
        <v>9999999.999999946</v>
      </c>
      <c r="E90" s="395">
        <f t="shared" si="8"/>
        <v>224999.99999999916</v>
      </c>
      <c r="F90" s="395">
        <f t="shared" si="6"/>
        <v>1891666.6666666658</v>
      </c>
      <c r="G90" s="396" t="s">
        <v>219</v>
      </c>
      <c r="I90" s="397"/>
      <c r="J90" s="203"/>
    </row>
    <row r="91" spans="2:11" outlineLevel="1" x14ac:dyDescent="0.25">
      <c r="B91" s="258">
        <v>80</v>
      </c>
      <c r="C91" s="395">
        <f>+D9/60</f>
        <v>1666666.6666666667</v>
      </c>
      <c r="D91" s="394">
        <f t="shared" si="7"/>
        <v>8333333.333333279</v>
      </c>
      <c r="E91" s="395">
        <f t="shared" si="8"/>
        <v>199999.99999999919</v>
      </c>
      <c r="F91" s="395">
        <f t="shared" si="6"/>
        <v>1866666.666666666</v>
      </c>
      <c r="G91" s="396" t="s">
        <v>219</v>
      </c>
      <c r="I91" s="397"/>
      <c r="J91" s="203"/>
    </row>
    <row r="92" spans="2:11" outlineLevel="1" x14ac:dyDescent="0.25">
      <c r="B92" s="258">
        <v>81</v>
      </c>
      <c r="C92" s="395">
        <f>+D9/60</f>
        <v>1666666.6666666667</v>
      </c>
      <c r="D92" s="394">
        <f t="shared" si="7"/>
        <v>6666666.666666612</v>
      </c>
      <c r="E92" s="395">
        <f t="shared" si="8"/>
        <v>174999.99999999919</v>
      </c>
      <c r="F92" s="395">
        <f t="shared" si="6"/>
        <v>1841666.666666666</v>
      </c>
      <c r="G92" s="396" t="s">
        <v>219</v>
      </c>
      <c r="I92" s="397"/>
      <c r="J92" s="203"/>
    </row>
    <row r="93" spans="2:11" outlineLevel="1" x14ac:dyDescent="0.25">
      <c r="B93" s="258">
        <v>82</v>
      </c>
      <c r="C93" s="395">
        <f>+D9/60</f>
        <v>1666666.6666666667</v>
      </c>
      <c r="D93" s="394">
        <f t="shared" si="7"/>
        <v>4999999.9999999451</v>
      </c>
      <c r="E93" s="395">
        <f t="shared" si="8"/>
        <v>149999.99999999919</v>
      </c>
      <c r="F93" s="395">
        <f t="shared" si="6"/>
        <v>1816666.666666666</v>
      </c>
      <c r="G93" s="396" t="s">
        <v>219</v>
      </c>
      <c r="I93" s="397"/>
      <c r="J93" s="203"/>
    </row>
    <row r="94" spans="2:11" outlineLevel="1" x14ac:dyDescent="0.25">
      <c r="B94" s="258">
        <v>83</v>
      </c>
      <c r="C94" s="395">
        <f>+D9/60</f>
        <v>1666666.6666666667</v>
      </c>
      <c r="D94" s="394">
        <f t="shared" si="7"/>
        <v>3333333.3333332781</v>
      </c>
      <c r="E94" s="395">
        <f t="shared" si="8"/>
        <v>124999.99999999919</v>
      </c>
      <c r="F94" s="395">
        <f t="shared" si="6"/>
        <v>1791666.666666666</v>
      </c>
      <c r="G94" s="396" t="s">
        <v>219</v>
      </c>
      <c r="I94" s="397"/>
      <c r="J94" s="203"/>
    </row>
    <row r="95" spans="2:11" outlineLevel="1" x14ac:dyDescent="0.25">
      <c r="B95" s="258">
        <v>84</v>
      </c>
      <c r="C95" s="395">
        <f>+D9/60</f>
        <v>1666666.6666666667</v>
      </c>
      <c r="D95" s="394">
        <f t="shared" si="7"/>
        <v>1666666.6666666113</v>
      </c>
      <c r="E95" s="395">
        <f t="shared" si="8"/>
        <v>99999.999999999185</v>
      </c>
      <c r="F95" s="395">
        <f t="shared" si="6"/>
        <v>1766666.666666666</v>
      </c>
      <c r="G95" s="396" t="s">
        <v>219</v>
      </c>
      <c r="I95" s="397"/>
      <c r="J95" s="203"/>
    </row>
    <row r="96" spans="2:11" s="11" customFormat="1" outlineLevel="1" x14ac:dyDescent="0.25">
      <c r="B96" s="508"/>
      <c r="C96" s="398">
        <f>SUM(C36:C95)</f>
        <v>100000000.00000006</v>
      </c>
      <c r="D96" s="399">
        <v>0</v>
      </c>
      <c r="E96" s="398">
        <f>SUM(E12:E95)</f>
        <v>86100000</v>
      </c>
      <c r="F96" s="398">
        <f t="shared" si="6"/>
        <v>186100000.00000006</v>
      </c>
      <c r="G96" s="400"/>
      <c r="H96" s="401"/>
      <c r="I96" s="397"/>
      <c r="J96" s="203"/>
      <c r="K96" s="2"/>
    </row>
  </sheetData>
  <mergeCells count="1">
    <mergeCell ref="B2:F2"/>
  </mergeCells>
  <printOptions horizontalCentered="1" verticalCentered="1"/>
  <pageMargins left="0.39370078740157483" right="0.39370078740157483" top="0.55118110236220474" bottom="0.78740157480314965" header="0.51181102362204722" footer="0.51181102362204722"/>
  <pageSetup paperSize="9" scale="8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>
    <pageSetUpPr fitToPage="1"/>
  </sheetPr>
  <dimension ref="B1:K18"/>
  <sheetViews>
    <sheetView showGridLines="0" view="pageBreakPreview" zoomScale="84" zoomScaleNormal="75" zoomScaleSheetLayoutView="84" workbookViewId="0">
      <selection activeCell="D26" sqref="D26"/>
    </sheetView>
  </sheetViews>
  <sheetFormatPr defaultRowHeight="15.75" x14ac:dyDescent="0.25"/>
  <cols>
    <col min="2" max="2" width="26.625" style="513" bestFit="1" customWidth="1"/>
    <col min="3" max="3" width="9.125" style="513" customWidth="1"/>
    <col min="4" max="4" width="22.75" style="513" bestFit="1" customWidth="1"/>
    <col min="5" max="5" width="16.25" style="513" customWidth="1"/>
    <col min="6" max="8" width="15.25" style="513" customWidth="1"/>
    <col min="9" max="9" width="18.25" style="513" customWidth="1"/>
    <col min="10" max="10" width="14.75" style="513" customWidth="1"/>
    <col min="11" max="11" width="15.25" style="513" customWidth="1"/>
  </cols>
  <sheetData>
    <row r="1" spans="2:11" x14ac:dyDescent="0.25">
      <c r="G1" s="531" t="s">
        <v>220</v>
      </c>
      <c r="H1" s="532"/>
      <c r="I1" s="532"/>
      <c r="J1" s="532"/>
      <c r="K1" s="532"/>
    </row>
    <row r="2" spans="2:11" ht="21" customHeight="1" thickBot="1" x14ac:dyDescent="0.35">
      <c r="B2" s="274" t="s">
        <v>221</v>
      </c>
      <c r="C2" s="4"/>
      <c r="D2" s="4"/>
      <c r="E2" s="4"/>
      <c r="F2" s="511"/>
      <c r="G2" s="533"/>
      <c r="H2" s="533"/>
      <c r="I2" s="533"/>
      <c r="J2" s="533"/>
      <c r="K2" s="533"/>
    </row>
    <row r="3" spans="2:11" ht="33" customHeight="1" thickTop="1" x14ac:dyDescent="0.25">
      <c r="B3" s="129" t="s">
        <v>222</v>
      </c>
      <c r="C3" s="130" t="s">
        <v>223</v>
      </c>
      <c r="D3" s="130" t="s">
        <v>224</v>
      </c>
      <c r="E3" s="131" t="str">
        <f>Depreciate!E4</f>
        <v>1-yil</v>
      </c>
      <c r="F3" s="131" t="str">
        <f>Depreciate!F4</f>
        <v>2-yil</v>
      </c>
      <c r="G3" s="131" t="str">
        <f>Depreciate!G4</f>
        <v>3-yil</v>
      </c>
      <c r="H3" s="185" t="str">
        <f>Depreciate!H4</f>
        <v>4-yil</v>
      </c>
      <c r="I3" s="185" t="str">
        <f>ProdPlan!G23</f>
        <v>5-yil</v>
      </c>
      <c r="J3" s="185" t="str">
        <f>ProdPlan!H23</f>
        <v>6-yil</v>
      </c>
      <c r="K3" s="185" t="str">
        <f>ProdPlan!I23</f>
        <v>7-yil</v>
      </c>
    </row>
    <row r="4" spans="2:11" ht="30" hidden="1" customHeight="1" x14ac:dyDescent="0.25">
      <c r="B4" s="132" t="s">
        <v>225</v>
      </c>
      <c r="C4" s="402">
        <v>3.5000000000000003E-2</v>
      </c>
      <c r="D4" s="1" t="s">
        <v>226</v>
      </c>
      <c r="E4" s="403">
        <v>0</v>
      </c>
      <c r="F4" s="403">
        <v>0</v>
      </c>
      <c r="G4" s="403">
        <v>0</v>
      </c>
      <c r="H4" s="404">
        <v>0</v>
      </c>
      <c r="I4" s="404">
        <v>0</v>
      </c>
      <c r="J4" s="404">
        <v>0</v>
      </c>
      <c r="K4" s="404">
        <v>0</v>
      </c>
    </row>
    <row r="5" spans="2:11" hidden="1" x14ac:dyDescent="0.25">
      <c r="B5" s="133"/>
      <c r="C5" s="405"/>
      <c r="D5" s="258"/>
      <c r="E5" s="406"/>
      <c r="F5" s="406"/>
      <c r="G5" s="406"/>
      <c r="H5" s="407"/>
      <c r="I5" s="407"/>
      <c r="J5" s="407"/>
      <c r="K5" s="407"/>
    </row>
    <row r="6" spans="2:11" ht="0.75" hidden="1" customHeight="1" x14ac:dyDescent="0.25">
      <c r="B6" s="134" t="s">
        <v>227</v>
      </c>
      <c r="C6" s="405"/>
      <c r="D6" s="258" t="s">
        <v>228</v>
      </c>
      <c r="E6" s="408" t="s">
        <v>176</v>
      </c>
      <c r="F6" s="406">
        <v>0</v>
      </c>
      <c r="G6" s="406">
        <v>0</v>
      </c>
      <c r="H6" s="407">
        <v>0</v>
      </c>
      <c r="I6" s="407">
        <v>0</v>
      </c>
      <c r="J6" s="407">
        <v>0</v>
      </c>
      <c r="K6" s="407">
        <v>0</v>
      </c>
    </row>
    <row r="7" spans="2:11" hidden="1" x14ac:dyDescent="0.25">
      <c r="B7" s="134" t="s">
        <v>229</v>
      </c>
      <c r="C7" s="405"/>
      <c r="D7" s="258"/>
      <c r="E7" s="406"/>
      <c r="F7" s="406"/>
      <c r="G7" s="406"/>
      <c r="H7" s="407"/>
      <c r="I7" s="407"/>
      <c r="J7" s="407"/>
      <c r="K7" s="407"/>
    </row>
    <row r="8" spans="2:11" hidden="1" x14ac:dyDescent="0.25">
      <c r="B8" s="530" t="s">
        <v>230</v>
      </c>
      <c r="C8" s="522"/>
      <c r="D8" s="523"/>
      <c r="E8" s="409">
        <f t="shared" ref="E8:K8" si="0">SUM(E4:E7)</f>
        <v>0</v>
      </c>
      <c r="F8" s="409">
        <f t="shared" si="0"/>
        <v>0</v>
      </c>
      <c r="G8" s="409">
        <f t="shared" si="0"/>
        <v>0</v>
      </c>
      <c r="H8" s="410">
        <f t="shared" si="0"/>
        <v>0</v>
      </c>
      <c r="I8" s="410">
        <f t="shared" si="0"/>
        <v>0</v>
      </c>
      <c r="J8" s="410">
        <f t="shared" si="0"/>
        <v>0</v>
      </c>
      <c r="K8" s="410">
        <f t="shared" si="0"/>
        <v>0</v>
      </c>
    </row>
    <row r="9" spans="2:11" hidden="1" x14ac:dyDescent="0.25">
      <c r="B9" s="134" t="s">
        <v>231</v>
      </c>
      <c r="C9" s="405">
        <v>0.01</v>
      </c>
      <c r="D9" s="258" t="s">
        <v>232</v>
      </c>
      <c r="E9" s="406"/>
      <c r="F9" s="406"/>
      <c r="G9" s="406"/>
      <c r="H9" s="407"/>
      <c r="I9" s="407"/>
      <c r="J9" s="407"/>
      <c r="K9" s="407"/>
    </row>
    <row r="10" spans="2:11" hidden="1" x14ac:dyDescent="0.25">
      <c r="B10" s="134" t="s">
        <v>233</v>
      </c>
      <c r="C10" s="405">
        <v>7.0000000000000001E-3</v>
      </c>
      <c r="D10" s="258" t="s">
        <v>232</v>
      </c>
      <c r="E10" s="406"/>
      <c r="F10" s="406"/>
      <c r="G10" s="406"/>
      <c r="H10" s="407"/>
      <c r="I10" s="407"/>
      <c r="J10" s="407"/>
      <c r="K10" s="407"/>
    </row>
    <row r="11" spans="2:11" hidden="1" x14ac:dyDescent="0.25">
      <c r="B11" s="135" t="s">
        <v>234</v>
      </c>
      <c r="C11" s="411">
        <v>0.01</v>
      </c>
      <c r="D11" s="9" t="s">
        <v>235</v>
      </c>
      <c r="E11" s="406">
        <v>0</v>
      </c>
      <c r="F11" s="406">
        <v>0</v>
      </c>
      <c r="G11" s="406">
        <v>0</v>
      </c>
      <c r="H11" s="407"/>
      <c r="I11" s="407"/>
      <c r="J11" s="407"/>
      <c r="K11" s="407"/>
    </row>
    <row r="12" spans="2:11" s="11" customFormat="1" ht="1.5" hidden="1" customHeight="1" x14ac:dyDescent="0.25">
      <c r="B12" s="530" t="s">
        <v>236</v>
      </c>
      <c r="C12" s="522"/>
      <c r="D12" s="523"/>
      <c r="E12" s="409"/>
      <c r="F12" s="409"/>
      <c r="G12" s="409"/>
      <c r="H12" s="410"/>
      <c r="I12" s="410"/>
      <c r="J12" s="410"/>
      <c r="K12" s="410"/>
    </row>
    <row r="13" spans="2:11" s="11" customFormat="1" ht="30" customHeight="1" thickBot="1" x14ac:dyDescent="0.3">
      <c r="B13" s="133" t="s">
        <v>237</v>
      </c>
      <c r="C13" s="412">
        <v>0.04</v>
      </c>
      <c r="D13" s="125" t="s">
        <v>238</v>
      </c>
      <c r="E13" s="406">
        <f>4%*ProfLoss!C6</f>
        <v>14311080000</v>
      </c>
      <c r="F13" s="406">
        <f>4%*ProfLoss!D6</f>
        <v>15333300000</v>
      </c>
      <c r="G13" s="406">
        <f>4%*ProfLoss!E6</f>
        <v>16355520000</v>
      </c>
      <c r="H13" s="406">
        <f>4%*ProfLoss!F6</f>
        <v>17377740000</v>
      </c>
      <c r="I13" s="406">
        <f>4%*ProfLoss!G6</f>
        <v>18399960000</v>
      </c>
      <c r="J13" s="406">
        <f>4%*ProfLoss!H6</f>
        <v>19422180000</v>
      </c>
      <c r="K13" s="406">
        <f>4%*ProfLoss!I6</f>
        <v>20444400000</v>
      </c>
    </row>
    <row r="14" spans="2:11" ht="16.5" hidden="1" customHeight="1" thickBot="1" x14ac:dyDescent="0.3">
      <c r="B14" s="136" t="s">
        <v>239</v>
      </c>
      <c r="C14" s="413" t="s">
        <v>176</v>
      </c>
      <c r="D14" s="16" t="s">
        <v>240</v>
      </c>
      <c r="E14" s="414">
        <v>0</v>
      </c>
      <c r="F14" s="414">
        <v>0</v>
      </c>
      <c r="G14" s="414">
        <v>0</v>
      </c>
      <c r="H14" s="415">
        <v>0</v>
      </c>
      <c r="I14" s="415">
        <v>0</v>
      </c>
      <c r="J14" s="415">
        <v>0</v>
      </c>
      <c r="K14" s="415">
        <v>0</v>
      </c>
    </row>
    <row r="15" spans="2:11" ht="16.5" hidden="1" customHeight="1" thickBot="1" x14ac:dyDescent="0.3">
      <c r="B15" s="137" t="s">
        <v>241</v>
      </c>
      <c r="C15" s="413">
        <v>0.2</v>
      </c>
      <c r="D15" s="16" t="s">
        <v>240</v>
      </c>
      <c r="E15" s="414">
        <v>0</v>
      </c>
      <c r="F15" s="414">
        <v>0</v>
      </c>
      <c r="G15" s="414">
        <v>0</v>
      </c>
      <c r="H15" s="415">
        <v>0</v>
      </c>
      <c r="I15" s="415">
        <v>0</v>
      </c>
      <c r="J15" s="415">
        <v>0</v>
      </c>
      <c r="K15" s="415">
        <v>0</v>
      </c>
    </row>
    <row r="16" spans="2:11" ht="16.5" hidden="1" customHeight="1" thickBot="1" x14ac:dyDescent="0.3">
      <c r="B16" s="137" t="s">
        <v>242</v>
      </c>
      <c r="C16" s="413">
        <v>0.08</v>
      </c>
      <c r="D16" s="16" t="s">
        <v>243</v>
      </c>
      <c r="E16" s="414">
        <v>0</v>
      </c>
      <c r="F16" s="414">
        <v>0</v>
      </c>
      <c r="G16" s="414">
        <v>0</v>
      </c>
      <c r="H16" s="415">
        <v>0</v>
      </c>
      <c r="I16" s="415">
        <v>0</v>
      </c>
      <c r="J16" s="415">
        <v>0</v>
      </c>
      <c r="K16" s="415">
        <v>0</v>
      </c>
    </row>
    <row r="17" spans="2:11" ht="21" customHeight="1" thickBot="1" x14ac:dyDescent="0.3">
      <c r="B17" s="138" t="s">
        <v>244</v>
      </c>
      <c r="C17" s="139"/>
      <c r="D17" s="140"/>
      <c r="E17" s="416">
        <f t="shared" ref="E17:K17" si="1">E8+E13</f>
        <v>14311080000</v>
      </c>
      <c r="F17" s="416">
        <f t="shared" si="1"/>
        <v>15333300000</v>
      </c>
      <c r="G17" s="416">
        <f t="shared" si="1"/>
        <v>16355520000</v>
      </c>
      <c r="H17" s="417">
        <f t="shared" si="1"/>
        <v>17377740000</v>
      </c>
      <c r="I17" s="417">
        <f t="shared" si="1"/>
        <v>18399960000</v>
      </c>
      <c r="J17" s="417">
        <f t="shared" si="1"/>
        <v>19422180000</v>
      </c>
      <c r="K17" s="417">
        <f t="shared" si="1"/>
        <v>20444400000</v>
      </c>
    </row>
    <row r="18" spans="2:11" ht="16.5" customHeight="1" thickTop="1" x14ac:dyDescent="0.25"/>
  </sheetData>
  <mergeCells count="3">
    <mergeCell ref="B12:D12"/>
    <mergeCell ref="G1:K2"/>
    <mergeCell ref="B8:D8"/>
  </mergeCells>
  <printOptions horizontalCentered="1" verticalCentered="1"/>
  <pageMargins left="0.39370078740157483" right="0.39370078740157483" top="0.98425196850393704" bottom="0.98425196850393704" header="0.51181102362204722" footer="0.51181102362204722"/>
  <pageSetup paperSize="9" scale="7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J97"/>
  <sheetViews>
    <sheetView topLeftCell="A4" workbookViewId="0">
      <selection activeCell="D12" sqref="D12"/>
    </sheetView>
  </sheetViews>
  <sheetFormatPr defaultRowHeight="15.75" outlineLevelRow="1" x14ac:dyDescent="0.25"/>
  <cols>
    <col min="2" max="2" width="11.375" style="511" customWidth="1"/>
    <col min="3" max="3" width="22.25" style="511" customWidth="1"/>
    <col min="4" max="4" width="18.125" style="511" customWidth="1"/>
    <col min="5" max="5" width="17.125" style="511" bestFit="1" customWidth="1"/>
    <col min="6" max="6" width="17" style="511" bestFit="1" customWidth="1"/>
    <col min="7" max="10" width="9" style="511" customWidth="1"/>
  </cols>
  <sheetData>
    <row r="1" spans="2:7" x14ac:dyDescent="0.25">
      <c r="B1" s="3"/>
      <c r="C1" s="4"/>
      <c r="D1" s="4"/>
      <c r="F1" s="325" t="s">
        <v>245</v>
      </c>
    </row>
    <row r="2" spans="2:7" ht="21" customHeight="1" thickBot="1" x14ac:dyDescent="0.35">
      <c r="B2" s="526" t="s">
        <v>246</v>
      </c>
      <c r="C2" s="528"/>
      <c r="D2" s="528"/>
      <c r="E2" s="528"/>
      <c r="F2" s="528"/>
      <c r="G2" s="7"/>
    </row>
    <row r="3" spans="2:7" ht="16.5" customHeight="1" thickTop="1" x14ac:dyDescent="0.25">
      <c r="C3" s="109" t="s">
        <v>247</v>
      </c>
      <c r="D3" s="110" t="s">
        <v>248</v>
      </c>
    </row>
    <row r="4" spans="2:7" x14ac:dyDescent="0.25">
      <c r="C4" s="122" t="s">
        <v>249</v>
      </c>
      <c r="D4" s="120" t="s">
        <v>250</v>
      </c>
    </row>
    <row r="5" spans="2:7" x14ac:dyDescent="0.25">
      <c r="C5" s="5" t="s">
        <v>251</v>
      </c>
      <c r="D5" s="120" t="s">
        <v>252</v>
      </c>
    </row>
    <row r="6" spans="2:7" x14ac:dyDescent="0.25">
      <c r="C6" s="5" t="s">
        <v>253</v>
      </c>
      <c r="D6" s="418">
        <v>5.5E-2</v>
      </c>
    </row>
    <row r="7" spans="2:7" x14ac:dyDescent="0.25">
      <c r="C7" s="5" t="s">
        <v>254</v>
      </c>
      <c r="D7" s="111" t="s">
        <v>255</v>
      </c>
    </row>
    <row r="8" spans="2:7" ht="16.5" customHeight="1" thickBot="1" x14ac:dyDescent="0.3">
      <c r="C8" s="6" t="s">
        <v>256</v>
      </c>
      <c r="D8" s="419" t="str">
        <f>'Share of Costs'!F6</f>
        <v>100000000</v>
      </c>
      <c r="F8" s="390"/>
    </row>
    <row r="9" spans="2:7" ht="16.899999999999999" customHeight="1" thickTop="1" thickBot="1" x14ac:dyDescent="0.3"/>
    <row r="10" spans="2:7" ht="52.9" customHeight="1" thickTop="1" x14ac:dyDescent="0.25">
      <c r="B10" s="515" t="s">
        <v>257</v>
      </c>
      <c r="C10" s="514" t="s">
        <v>258</v>
      </c>
      <c r="D10" s="514" t="s">
        <v>259</v>
      </c>
      <c r="E10" s="514" t="s">
        <v>260</v>
      </c>
      <c r="F10" s="116" t="s">
        <v>261</v>
      </c>
    </row>
    <row r="11" spans="2:7" x14ac:dyDescent="0.25">
      <c r="B11" s="8" t="s">
        <v>262</v>
      </c>
      <c r="C11" s="420">
        <v>0</v>
      </c>
      <c r="D11" s="420" t="str">
        <f>D8</f>
        <v>100000000</v>
      </c>
      <c r="E11" s="420">
        <v>0</v>
      </c>
      <c r="F11" s="421">
        <f t="shared" ref="F11:F42" si="0">C11+E11</f>
        <v>0</v>
      </c>
      <c r="G11" s="511" t="s">
        <v>263</v>
      </c>
    </row>
    <row r="12" spans="2:7" x14ac:dyDescent="0.25">
      <c r="B12" s="100" t="s">
        <v>264</v>
      </c>
      <c r="C12" s="422">
        <v>0</v>
      </c>
      <c r="D12" s="423">
        <f t="shared" ref="D12:D43" si="1">+D11-C11</f>
        <v>100000000</v>
      </c>
      <c r="E12" s="424">
        <v>0</v>
      </c>
      <c r="F12" s="425">
        <f t="shared" si="0"/>
        <v>0</v>
      </c>
      <c r="G12" s="511" t="s">
        <v>263</v>
      </c>
    </row>
    <row r="13" spans="2:7" x14ac:dyDescent="0.25">
      <c r="B13" s="100" t="s">
        <v>265</v>
      </c>
      <c r="C13" s="422">
        <v>0</v>
      </c>
      <c r="D13" s="423">
        <f t="shared" si="1"/>
        <v>100000000</v>
      </c>
      <c r="E13" s="424">
        <v>0</v>
      </c>
      <c r="F13" s="425">
        <f t="shared" si="0"/>
        <v>0</v>
      </c>
      <c r="G13" s="511" t="s">
        <v>263</v>
      </c>
    </row>
    <row r="14" spans="2:7" x14ac:dyDescent="0.25">
      <c r="B14" s="100" t="s">
        <v>266</v>
      </c>
      <c r="C14" s="422">
        <v>0</v>
      </c>
      <c r="D14" s="423">
        <f t="shared" si="1"/>
        <v>100000000</v>
      </c>
      <c r="E14" s="424">
        <v>0</v>
      </c>
      <c r="F14" s="425">
        <f t="shared" si="0"/>
        <v>0</v>
      </c>
      <c r="G14" s="511" t="s">
        <v>263</v>
      </c>
    </row>
    <row r="15" spans="2:7" x14ac:dyDescent="0.25">
      <c r="B15" s="100" t="s">
        <v>267</v>
      </c>
      <c r="C15" s="422">
        <v>0</v>
      </c>
      <c r="D15" s="423">
        <f t="shared" si="1"/>
        <v>100000000</v>
      </c>
      <c r="E15" s="424">
        <v>0</v>
      </c>
      <c r="F15" s="425">
        <f t="shared" si="0"/>
        <v>0</v>
      </c>
      <c r="G15" s="511" t="s">
        <v>263</v>
      </c>
    </row>
    <row r="16" spans="2:7" x14ac:dyDescent="0.25">
      <c r="B16" s="100" t="s">
        <v>268</v>
      </c>
      <c r="C16" s="422">
        <v>0</v>
      </c>
      <c r="D16" s="423">
        <f t="shared" si="1"/>
        <v>100000000</v>
      </c>
      <c r="E16" s="424">
        <f>(D16*$D$6/2)</f>
        <v>2750000</v>
      </c>
      <c r="F16" s="425">
        <f t="shared" si="0"/>
        <v>2750000</v>
      </c>
      <c r="G16" s="511" t="s">
        <v>263</v>
      </c>
    </row>
    <row r="17" spans="2:7" x14ac:dyDescent="0.25">
      <c r="B17" s="100" t="s">
        <v>269</v>
      </c>
      <c r="C17" s="422">
        <v>0</v>
      </c>
      <c r="D17" s="423">
        <f t="shared" si="1"/>
        <v>100000000</v>
      </c>
      <c r="E17" s="424">
        <v>0</v>
      </c>
      <c r="F17" s="425">
        <f t="shared" si="0"/>
        <v>0</v>
      </c>
      <c r="G17" s="511" t="s">
        <v>263</v>
      </c>
    </row>
    <row r="18" spans="2:7" outlineLevel="1" x14ac:dyDescent="0.25">
      <c r="B18" s="100" t="s">
        <v>270</v>
      </c>
      <c r="C18" s="422">
        <v>0</v>
      </c>
      <c r="D18" s="423">
        <f t="shared" si="1"/>
        <v>100000000</v>
      </c>
      <c r="E18" s="424">
        <v>0</v>
      </c>
      <c r="F18" s="425">
        <f t="shared" si="0"/>
        <v>0</v>
      </c>
      <c r="G18" s="511" t="s">
        <v>263</v>
      </c>
    </row>
    <row r="19" spans="2:7" outlineLevel="1" x14ac:dyDescent="0.25">
      <c r="B19" s="100" t="s">
        <v>271</v>
      </c>
      <c r="C19" s="422">
        <v>0</v>
      </c>
      <c r="D19" s="423">
        <f t="shared" si="1"/>
        <v>100000000</v>
      </c>
      <c r="E19" s="424">
        <v>0</v>
      </c>
      <c r="F19" s="425">
        <f t="shared" si="0"/>
        <v>0</v>
      </c>
      <c r="G19" s="511" t="s">
        <v>263</v>
      </c>
    </row>
    <row r="20" spans="2:7" outlineLevel="1" x14ac:dyDescent="0.25">
      <c r="B20" s="100" t="s">
        <v>272</v>
      </c>
      <c r="C20" s="422">
        <v>0</v>
      </c>
      <c r="D20" s="423">
        <f t="shared" si="1"/>
        <v>100000000</v>
      </c>
      <c r="E20" s="424">
        <v>0</v>
      </c>
      <c r="F20" s="425">
        <f t="shared" si="0"/>
        <v>0</v>
      </c>
      <c r="G20" s="511" t="s">
        <v>263</v>
      </c>
    </row>
    <row r="21" spans="2:7" outlineLevel="1" x14ac:dyDescent="0.25">
      <c r="B21" s="100" t="s">
        <v>273</v>
      </c>
      <c r="C21" s="422">
        <f t="shared" ref="C21:C33" si="2">C20</f>
        <v>0</v>
      </c>
      <c r="D21" s="423">
        <f t="shared" si="1"/>
        <v>100000000</v>
      </c>
      <c r="E21" s="424">
        <v>0</v>
      </c>
      <c r="F21" s="425">
        <f t="shared" si="0"/>
        <v>0</v>
      </c>
      <c r="G21" s="511" t="s">
        <v>263</v>
      </c>
    </row>
    <row r="22" spans="2:7" outlineLevel="1" x14ac:dyDescent="0.25">
      <c r="B22" s="100" t="s">
        <v>274</v>
      </c>
      <c r="C22" s="422">
        <f t="shared" si="2"/>
        <v>0</v>
      </c>
      <c r="D22" s="423">
        <f t="shared" si="1"/>
        <v>100000000</v>
      </c>
      <c r="E22" s="424">
        <f>(D22*$D$6/2)</f>
        <v>2750000</v>
      </c>
      <c r="F22" s="425">
        <f t="shared" si="0"/>
        <v>2750000</v>
      </c>
      <c r="G22" s="511" t="s">
        <v>263</v>
      </c>
    </row>
    <row r="23" spans="2:7" outlineLevel="1" x14ac:dyDescent="0.25">
      <c r="B23" s="100" t="s">
        <v>275</v>
      </c>
      <c r="C23" s="422">
        <f t="shared" si="2"/>
        <v>0</v>
      </c>
      <c r="D23" s="423">
        <f t="shared" si="1"/>
        <v>100000000</v>
      </c>
      <c r="E23" s="424">
        <v>0</v>
      </c>
      <c r="F23" s="425">
        <f t="shared" si="0"/>
        <v>0</v>
      </c>
      <c r="G23" s="511" t="s">
        <v>276</v>
      </c>
    </row>
    <row r="24" spans="2:7" outlineLevel="1" x14ac:dyDescent="0.25">
      <c r="B24" s="100" t="s">
        <v>277</v>
      </c>
      <c r="C24" s="422">
        <f t="shared" si="2"/>
        <v>0</v>
      </c>
      <c r="D24" s="423">
        <f t="shared" si="1"/>
        <v>100000000</v>
      </c>
      <c r="E24" s="424">
        <v>0</v>
      </c>
      <c r="F24" s="425">
        <f t="shared" si="0"/>
        <v>0</v>
      </c>
      <c r="G24" s="511" t="s">
        <v>276</v>
      </c>
    </row>
    <row r="25" spans="2:7" outlineLevel="1" x14ac:dyDescent="0.25">
      <c r="B25" s="100" t="s">
        <v>278</v>
      </c>
      <c r="C25" s="422">
        <f t="shared" si="2"/>
        <v>0</v>
      </c>
      <c r="D25" s="423">
        <f t="shared" si="1"/>
        <v>100000000</v>
      </c>
      <c r="E25" s="424">
        <v>0</v>
      </c>
      <c r="F25" s="425">
        <f t="shared" si="0"/>
        <v>0</v>
      </c>
      <c r="G25" s="511" t="s">
        <v>276</v>
      </c>
    </row>
    <row r="26" spans="2:7" outlineLevel="1" x14ac:dyDescent="0.25">
      <c r="B26" s="100" t="s">
        <v>279</v>
      </c>
      <c r="C26" s="422">
        <f t="shared" si="2"/>
        <v>0</v>
      </c>
      <c r="D26" s="423">
        <f t="shared" si="1"/>
        <v>100000000</v>
      </c>
      <c r="E26" s="424">
        <v>0</v>
      </c>
      <c r="F26" s="425">
        <f t="shared" si="0"/>
        <v>0</v>
      </c>
      <c r="G26" s="511" t="s">
        <v>276</v>
      </c>
    </row>
    <row r="27" spans="2:7" outlineLevel="1" x14ac:dyDescent="0.25">
      <c r="B27" s="100" t="s">
        <v>280</v>
      </c>
      <c r="C27" s="422">
        <f t="shared" si="2"/>
        <v>0</v>
      </c>
      <c r="D27" s="423">
        <f t="shared" si="1"/>
        <v>100000000</v>
      </c>
      <c r="E27" s="424">
        <v>0</v>
      </c>
      <c r="F27" s="425">
        <f t="shared" si="0"/>
        <v>0</v>
      </c>
      <c r="G27" s="511" t="s">
        <v>276</v>
      </c>
    </row>
    <row r="28" spans="2:7" outlineLevel="1" x14ac:dyDescent="0.25">
      <c r="B28" s="100" t="s">
        <v>281</v>
      </c>
      <c r="C28" s="422">
        <f t="shared" si="2"/>
        <v>0</v>
      </c>
      <c r="D28" s="423">
        <f t="shared" si="1"/>
        <v>100000000</v>
      </c>
      <c r="E28" s="424">
        <f>(D28*$D$6/2)</f>
        <v>2750000</v>
      </c>
      <c r="F28" s="425">
        <f t="shared" si="0"/>
        <v>2750000</v>
      </c>
      <c r="G28" s="511" t="s">
        <v>276</v>
      </c>
    </row>
    <row r="29" spans="2:7" outlineLevel="1" x14ac:dyDescent="0.25">
      <c r="B29" s="100" t="s">
        <v>282</v>
      </c>
      <c r="C29" s="422">
        <f t="shared" si="2"/>
        <v>0</v>
      </c>
      <c r="D29" s="423">
        <f t="shared" si="1"/>
        <v>100000000</v>
      </c>
      <c r="E29" s="424">
        <v>0</v>
      </c>
      <c r="F29" s="425">
        <f t="shared" si="0"/>
        <v>0</v>
      </c>
      <c r="G29" s="511" t="s">
        <v>276</v>
      </c>
    </row>
    <row r="30" spans="2:7" outlineLevel="1" x14ac:dyDescent="0.25">
      <c r="B30" s="100" t="s">
        <v>283</v>
      </c>
      <c r="C30" s="422">
        <f t="shared" si="2"/>
        <v>0</v>
      </c>
      <c r="D30" s="423">
        <f t="shared" si="1"/>
        <v>100000000</v>
      </c>
      <c r="E30" s="424">
        <v>0</v>
      </c>
      <c r="F30" s="425">
        <f t="shared" si="0"/>
        <v>0</v>
      </c>
      <c r="G30" s="511" t="s">
        <v>276</v>
      </c>
    </row>
    <row r="31" spans="2:7" outlineLevel="1" x14ac:dyDescent="0.25">
      <c r="B31" s="100" t="s">
        <v>284</v>
      </c>
      <c r="C31" s="422">
        <f t="shared" si="2"/>
        <v>0</v>
      </c>
      <c r="D31" s="423">
        <f t="shared" si="1"/>
        <v>100000000</v>
      </c>
      <c r="E31" s="424">
        <v>0</v>
      </c>
      <c r="F31" s="425">
        <f t="shared" si="0"/>
        <v>0</v>
      </c>
      <c r="G31" s="511" t="s">
        <v>276</v>
      </c>
    </row>
    <row r="32" spans="2:7" outlineLevel="1" x14ac:dyDescent="0.25">
      <c r="B32" s="100" t="s">
        <v>285</v>
      </c>
      <c r="C32" s="422">
        <f t="shared" si="2"/>
        <v>0</v>
      </c>
      <c r="D32" s="423">
        <f t="shared" si="1"/>
        <v>100000000</v>
      </c>
      <c r="E32" s="424">
        <v>0</v>
      </c>
      <c r="F32" s="425">
        <f t="shared" si="0"/>
        <v>0</v>
      </c>
      <c r="G32" s="511" t="s">
        <v>276</v>
      </c>
    </row>
    <row r="33" spans="2:7" outlineLevel="1" x14ac:dyDescent="0.25">
      <c r="B33" s="100" t="s">
        <v>286</v>
      </c>
      <c r="C33" s="422">
        <f t="shared" si="2"/>
        <v>0</v>
      </c>
      <c r="D33" s="423">
        <f t="shared" si="1"/>
        <v>100000000</v>
      </c>
      <c r="E33" s="424">
        <v>0</v>
      </c>
      <c r="F33" s="425">
        <f t="shared" si="0"/>
        <v>0</v>
      </c>
      <c r="G33" s="511" t="s">
        <v>276</v>
      </c>
    </row>
    <row r="34" spans="2:7" outlineLevel="1" x14ac:dyDescent="0.25">
      <c r="B34" s="100" t="s">
        <v>287</v>
      </c>
      <c r="C34" s="422">
        <f>D8/11</f>
        <v>9090909.0909090918</v>
      </c>
      <c r="D34" s="423">
        <f t="shared" si="1"/>
        <v>100000000</v>
      </c>
      <c r="E34" s="424">
        <f>(D34*$D$6/2)</f>
        <v>2750000</v>
      </c>
      <c r="F34" s="425">
        <f t="shared" si="0"/>
        <v>11840909.090909092</v>
      </c>
      <c r="G34" s="511" t="s">
        <v>276</v>
      </c>
    </row>
    <row r="35" spans="2:7" outlineLevel="1" x14ac:dyDescent="0.25">
      <c r="B35" s="100" t="s">
        <v>288</v>
      </c>
      <c r="C35" s="422">
        <v>0</v>
      </c>
      <c r="D35" s="423">
        <f t="shared" si="1"/>
        <v>90909090.909090906</v>
      </c>
      <c r="E35" s="424">
        <v>0</v>
      </c>
      <c r="F35" s="425">
        <f t="shared" si="0"/>
        <v>0</v>
      </c>
      <c r="G35" s="511" t="s">
        <v>289</v>
      </c>
    </row>
    <row r="36" spans="2:7" outlineLevel="1" x14ac:dyDescent="0.25">
      <c r="B36" s="100" t="s">
        <v>290</v>
      </c>
      <c r="C36" s="422">
        <f>C35</f>
        <v>0</v>
      </c>
      <c r="D36" s="423">
        <f t="shared" si="1"/>
        <v>90909090.909090906</v>
      </c>
      <c r="E36" s="424">
        <v>0</v>
      </c>
      <c r="F36" s="425">
        <f t="shared" si="0"/>
        <v>0</v>
      </c>
      <c r="G36" s="511" t="s">
        <v>289</v>
      </c>
    </row>
    <row r="37" spans="2:7" outlineLevel="1" x14ac:dyDescent="0.25">
      <c r="B37" s="100" t="s">
        <v>291</v>
      </c>
      <c r="C37" s="422">
        <f>C36</f>
        <v>0</v>
      </c>
      <c r="D37" s="423">
        <f t="shared" si="1"/>
        <v>90909090.909090906</v>
      </c>
      <c r="E37" s="424">
        <v>0</v>
      </c>
      <c r="F37" s="425">
        <f t="shared" si="0"/>
        <v>0</v>
      </c>
      <c r="G37" s="511" t="s">
        <v>289</v>
      </c>
    </row>
    <row r="38" spans="2:7" outlineLevel="1" x14ac:dyDescent="0.25">
      <c r="B38" s="100" t="s">
        <v>292</v>
      </c>
      <c r="C38" s="422">
        <f>C37</f>
        <v>0</v>
      </c>
      <c r="D38" s="423">
        <f t="shared" si="1"/>
        <v>90909090.909090906</v>
      </c>
      <c r="E38" s="424">
        <v>0</v>
      </c>
      <c r="F38" s="425">
        <f t="shared" si="0"/>
        <v>0</v>
      </c>
      <c r="G38" s="511" t="s">
        <v>289</v>
      </c>
    </row>
    <row r="39" spans="2:7" outlineLevel="1" x14ac:dyDescent="0.25">
      <c r="B39" s="100" t="s">
        <v>293</v>
      </c>
      <c r="C39" s="422">
        <f>C38</f>
        <v>0</v>
      </c>
      <c r="D39" s="423">
        <f t="shared" si="1"/>
        <v>90909090.909090906</v>
      </c>
      <c r="E39" s="424">
        <v>0</v>
      </c>
      <c r="F39" s="425">
        <f t="shared" si="0"/>
        <v>0</v>
      </c>
      <c r="G39" s="511" t="s">
        <v>289</v>
      </c>
    </row>
    <row r="40" spans="2:7" outlineLevel="1" x14ac:dyDescent="0.25">
      <c r="B40" s="100" t="s">
        <v>294</v>
      </c>
      <c r="C40" s="422">
        <f>C34</f>
        <v>9090909.0909090918</v>
      </c>
      <c r="D40" s="423">
        <f t="shared" si="1"/>
        <v>90909090.909090906</v>
      </c>
      <c r="E40" s="424">
        <f>(D40*$D$6/2)</f>
        <v>2500000</v>
      </c>
      <c r="F40" s="425">
        <f t="shared" si="0"/>
        <v>11590909.090909092</v>
      </c>
      <c r="G40" s="511" t="s">
        <v>289</v>
      </c>
    </row>
    <row r="41" spans="2:7" outlineLevel="1" x14ac:dyDescent="0.25">
      <c r="B41" s="100" t="s">
        <v>295</v>
      </c>
      <c r="C41" s="422">
        <v>0</v>
      </c>
      <c r="D41" s="423">
        <f t="shared" si="1"/>
        <v>81818181.818181813</v>
      </c>
      <c r="E41" s="424">
        <v>0</v>
      </c>
      <c r="F41" s="425">
        <f t="shared" si="0"/>
        <v>0</v>
      </c>
      <c r="G41" s="511" t="s">
        <v>289</v>
      </c>
    </row>
    <row r="42" spans="2:7" outlineLevel="1" x14ac:dyDescent="0.25">
      <c r="B42" s="100" t="s">
        <v>296</v>
      </c>
      <c r="C42" s="422">
        <f>C41</f>
        <v>0</v>
      </c>
      <c r="D42" s="423">
        <f t="shared" si="1"/>
        <v>81818181.818181813</v>
      </c>
      <c r="E42" s="424">
        <v>0</v>
      </c>
      <c r="F42" s="425">
        <f t="shared" si="0"/>
        <v>0</v>
      </c>
      <c r="G42" s="511" t="s">
        <v>289</v>
      </c>
    </row>
    <row r="43" spans="2:7" outlineLevel="1" x14ac:dyDescent="0.25">
      <c r="B43" s="100" t="s">
        <v>297</v>
      </c>
      <c r="C43" s="422">
        <f>C42</f>
        <v>0</v>
      </c>
      <c r="D43" s="423">
        <f t="shared" si="1"/>
        <v>81818181.818181813</v>
      </c>
      <c r="E43" s="424">
        <v>0</v>
      </c>
      <c r="F43" s="425">
        <f t="shared" ref="F43:F74" si="3">C43+E43</f>
        <v>0</v>
      </c>
      <c r="G43" s="511" t="s">
        <v>289</v>
      </c>
    </row>
    <row r="44" spans="2:7" outlineLevel="1" x14ac:dyDescent="0.25">
      <c r="B44" s="100" t="s">
        <v>298</v>
      </c>
      <c r="C44" s="422">
        <f>C43</f>
        <v>0</v>
      </c>
      <c r="D44" s="423">
        <f t="shared" ref="D44:D75" si="4">+D43-C43</f>
        <v>81818181.818181813</v>
      </c>
      <c r="E44" s="424">
        <v>0</v>
      </c>
      <c r="F44" s="425">
        <f t="shared" si="3"/>
        <v>0</v>
      </c>
      <c r="G44" s="511" t="s">
        <v>289</v>
      </c>
    </row>
    <row r="45" spans="2:7" outlineLevel="1" x14ac:dyDescent="0.25">
      <c r="B45" s="100" t="s">
        <v>299</v>
      </c>
      <c r="C45" s="422">
        <f>C44</f>
        <v>0</v>
      </c>
      <c r="D45" s="423">
        <f t="shared" si="4"/>
        <v>81818181.818181813</v>
      </c>
      <c r="E45" s="424">
        <v>0</v>
      </c>
      <c r="F45" s="425">
        <f t="shared" si="3"/>
        <v>0</v>
      </c>
      <c r="G45" s="511" t="s">
        <v>289</v>
      </c>
    </row>
    <row r="46" spans="2:7" ht="18.75" customHeight="1" outlineLevel="1" x14ac:dyDescent="0.25">
      <c r="B46" s="100" t="s">
        <v>300</v>
      </c>
      <c r="C46" s="422">
        <f>C40</f>
        <v>9090909.0909090918</v>
      </c>
      <c r="D46" s="423">
        <f t="shared" si="4"/>
        <v>81818181.818181813</v>
      </c>
      <c r="E46" s="424">
        <f>(D46*$D$6/2)</f>
        <v>2250000</v>
      </c>
      <c r="F46" s="425">
        <f t="shared" si="3"/>
        <v>11340909.090909092</v>
      </c>
      <c r="G46" s="511" t="s">
        <v>289</v>
      </c>
    </row>
    <row r="47" spans="2:7" ht="18.75" customHeight="1" outlineLevel="1" x14ac:dyDescent="0.25">
      <c r="B47" s="100" t="s">
        <v>301</v>
      </c>
      <c r="C47" s="422">
        <v>0</v>
      </c>
      <c r="D47" s="423">
        <f t="shared" si="4"/>
        <v>72727272.727272719</v>
      </c>
      <c r="E47" s="424">
        <v>0</v>
      </c>
      <c r="F47" s="425">
        <f t="shared" si="3"/>
        <v>0</v>
      </c>
      <c r="G47" s="511" t="s">
        <v>302</v>
      </c>
    </row>
    <row r="48" spans="2:7" ht="18.75" customHeight="1" outlineLevel="1" x14ac:dyDescent="0.25">
      <c r="B48" s="100" t="s">
        <v>303</v>
      </c>
      <c r="C48" s="422">
        <f>C47</f>
        <v>0</v>
      </c>
      <c r="D48" s="423">
        <f t="shared" si="4"/>
        <v>72727272.727272719</v>
      </c>
      <c r="E48" s="424">
        <v>0</v>
      </c>
      <c r="F48" s="425">
        <f t="shared" si="3"/>
        <v>0</v>
      </c>
      <c r="G48" s="511" t="s">
        <v>302</v>
      </c>
    </row>
    <row r="49" spans="2:7" ht="18.75" customHeight="1" outlineLevel="1" x14ac:dyDescent="0.25">
      <c r="B49" s="100" t="s">
        <v>304</v>
      </c>
      <c r="C49" s="422">
        <f>C48</f>
        <v>0</v>
      </c>
      <c r="D49" s="423">
        <f t="shared" si="4"/>
        <v>72727272.727272719</v>
      </c>
      <c r="E49" s="424">
        <v>0</v>
      </c>
      <c r="F49" s="425">
        <f t="shared" si="3"/>
        <v>0</v>
      </c>
      <c r="G49" s="511" t="s">
        <v>302</v>
      </c>
    </row>
    <row r="50" spans="2:7" ht="18.75" customHeight="1" outlineLevel="1" x14ac:dyDescent="0.25">
      <c r="B50" s="100" t="s">
        <v>305</v>
      </c>
      <c r="C50" s="422">
        <f>C49</f>
        <v>0</v>
      </c>
      <c r="D50" s="423">
        <f t="shared" si="4"/>
        <v>72727272.727272719</v>
      </c>
      <c r="E50" s="424">
        <v>0</v>
      </c>
      <c r="F50" s="425">
        <f t="shared" si="3"/>
        <v>0</v>
      </c>
      <c r="G50" s="511" t="s">
        <v>302</v>
      </c>
    </row>
    <row r="51" spans="2:7" ht="18.75" customHeight="1" outlineLevel="1" x14ac:dyDescent="0.25">
      <c r="B51" s="100" t="s">
        <v>306</v>
      </c>
      <c r="C51" s="422">
        <f>C50</f>
        <v>0</v>
      </c>
      <c r="D51" s="423">
        <f t="shared" si="4"/>
        <v>72727272.727272719</v>
      </c>
      <c r="E51" s="424">
        <v>0</v>
      </c>
      <c r="F51" s="425">
        <f t="shared" si="3"/>
        <v>0</v>
      </c>
      <c r="G51" s="511" t="s">
        <v>302</v>
      </c>
    </row>
    <row r="52" spans="2:7" ht="18.75" customHeight="1" outlineLevel="1" x14ac:dyDescent="0.25">
      <c r="B52" s="100" t="s">
        <v>307</v>
      </c>
      <c r="C52" s="422">
        <f>C46</f>
        <v>9090909.0909090918</v>
      </c>
      <c r="D52" s="423">
        <f t="shared" si="4"/>
        <v>72727272.727272719</v>
      </c>
      <c r="E52" s="424">
        <f>(D52*$D$6/2)</f>
        <v>1999999.9999999998</v>
      </c>
      <c r="F52" s="425">
        <f t="shared" si="3"/>
        <v>11090909.090909092</v>
      </c>
      <c r="G52" s="511" t="s">
        <v>302</v>
      </c>
    </row>
    <row r="53" spans="2:7" ht="18.75" customHeight="1" outlineLevel="1" x14ac:dyDescent="0.25">
      <c r="B53" s="100" t="s">
        <v>308</v>
      </c>
      <c r="C53" s="422">
        <v>0</v>
      </c>
      <c r="D53" s="423">
        <f t="shared" si="4"/>
        <v>63636363.636363626</v>
      </c>
      <c r="E53" s="424">
        <v>0</v>
      </c>
      <c r="F53" s="425">
        <f t="shared" si="3"/>
        <v>0</v>
      </c>
      <c r="G53" s="511" t="s">
        <v>302</v>
      </c>
    </row>
    <row r="54" spans="2:7" ht="18.75" customHeight="1" outlineLevel="1" x14ac:dyDescent="0.25">
      <c r="B54" s="100" t="s">
        <v>309</v>
      </c>
      <c r="C54" s="422">
        <f>C53</f>
        <v>0</v>
      </c>
      <c r="D54" s="423">
        <f t="shared" si="4"/>
        <v>63636363.636363626</v>
      </c>
      <c r="E54" s="424">
        <v>0</v>
      </c>
      <c r="F54" s="425">
        <f t="shared" si="3"/>
        <v>0</v>
      </c>
      <c r="G54" s="511" t="s">
        <v>302</v>
      </c>
    </row>
    <row r="55" spans="2:7" ht="18.75" customHeight="1" outlineLevel="1" x14ac:dyDescent="0.25">
      <c r="B55" s="100" t="s">
        <v>310</v>
      </c>
      <c r="C55" s="422">
        <f>C54</f>
        <v>0</v>
      </c>
      <c r="D55" s="423">
        <f t="shared" si="4"/>
        <v>63636363.636363626</v>
      </c>
      <c r="E55" s="424">
        <v>0</v>
      </c>
      <c r="F55" s="425">
        <f t="shared" si="3"/>
        <v>0</v>
      </c>
      <c r="G55" s="511" t="s">
        <v>302</v>
      </c>
    </row>
    <row r="56" spans="2:7" ht="18.75" customHeight="1" outlineLevel="1" x14ac:dyDescent="0.25">
      <c r="B56" s="100" t="s">
        <v>311</v>
      </c>
      <c r="C56" s="422">
        <f>C55</f>
        <v>0</v>
      </c>
      <c r="D56" s="423">
        <f t="shared" si="4"/>
        <v>63636363.636363626</v>
      </c>
      <c r="E56" s="424">
        <v>0</v>
      </c>
      <c r="F56" s="425">
        <f t="shared" si="3"/>
        <v>0</v>
      </c>
      <c r="G56" s="511" t="s">
        <v>302</v>
      </c>
    </row>
    <row r="57" spans="2:7" ht="18.75" customHeight="1" outlineLevel="1" x14ac:dyDescent="0.25">
      <c r="B57" s="100" t="s">
        <v>312</v>
      </c>
      <c r="C57" s="422">
        <f>C56</f>
        <v>0</v>
      </c>
      <c r="D57" s="423">
        <f t="shared" si="4"/>
        <v>63636363.636363626</v>
      </c>
      <c r="E57" s="424">
        <v>0</v>
      </c>
      <c r="F57" s="425">
        <f t="shared" si="3"/>
        <v>0</v>
      </c>
      <c r="G57" s="511" t="s">
        <v>302</v>
      </c>
    </row>
    <row r="58" spans="2:7" ht="18.75" customHeight="1" outlineLevel="1" x14ac:dyDescent="0.25">
      <c r="B58" s="100" t="s">
        <v>313</v>
      </c>
      <c r="C58" s="422">
        <f>C52</f>
        <v>9090909.0909090918</v>
      </c>
      <c r="D58" s="423">
        <f t="shared" si="4"/>
        <v>63636363.636363626</v>
      </c>
      <c r="E58" s="424">
        <f>(D58*$D$6/2)</f>
        <v>1749999.9999999998</v>
      </c>
      <c r="F58" s="425">
        <f t="shared" si="3"/>
        <v>10840909.090909092</v>
      </c>
      <c r="G58" s="511" t="s">
        <v>302</v>
      </c>
    </row>
    <row r="59" spans="2:7" ht="18.75" customHeight="1" outlineLevel="1" x14ac:dyDescent="0.25">
      <c r="B59" s="100" t="s">
        <v>314</v>
      </c>
      <c r="C59" s="422">
        <v>0</v>
      </c>
      <c r="D59" s="423">
        <f t="shared" si="4"/>
        <v>54545454.545454532</v>
      </c>
      <c r="E59" s="424">
        <v>0</v>
      </c>
      <c r="F59" s="425">
        <f t="shared" si="3"/>
        <v>0</v>
      </c>
      <c r="G59" s="511" t="s">
        <v>315</v>
      </c>
    </row>
    <row r="60" spans="2:7" ht="18.75" customHeight="1" outlineLevel="1" x14ac:dyDescent="0.25">
      <c r="B60" s="100" t="s">
        <v>316</v>
      </c>
      <c r="C60" s="422">
        <f>C59</f>
        <v>0</v>
      </c>
      <c r="D60" s="423">
        <f t="shared" si="4"/>
        <v>54545454.545454532</v>
      </c>
      <c r="E60" s="424">
        <v>0</v>
      </c>
      <c r="F60" s="425">
        <f t="shared" si="3"/>
        <v>0</v>
      </c>
      <c r="G60" s="511" t="s">
        <v>315</v>
      </c>
    </row>
    <row r="61" spans="2:7" ht="18.75" customHeight="1" outlineLevel="1" x14ac:dyDescent="0.25">
      <c r="B61" s="100" t="s">
        <v>317</v>
      </c>
      <c r="C61" s="422">
        <f>C60</f>
        <v>0</v>
      </c>
      <c r="D61" s="423">
        <f t="shared" si="4"/>
        <v>54545454.545454532</v>
      </c>
      <c r="E61" s="424">
        <v>0</v>
      </c>
      <c r="F61" s="425">
        <f t="shared" si="3"/>
        <v>0</v>
      </c>
      <c r="G61" s="511" t="s">
        <v>315</v>
      </c>
    </row>
    <row r="62" spans="2:7" outlineLevel="1" x14ac:dyDescent="0.25">
      <c r="B62" s="100" t="s">
        <v>318</v>
      </c>
      <c r="C62" s="422">
        <f>C61</f>
        <v>0</v>
      </c>
      <c r="D62" s="423">
        <f t="shared" si="4"/>
        <v>54545454.545454532</v>
      </c>
      <c r="E62" s="424">
        <v>0</v>
      </c>
      <c r="F62" s="425">
        <f t="shared" si="3"/>
        <v>0</v>
      </c>
      <c r="G62" s="511" t="s">
        <v>315</v>
      </c>
    </row>
    <row r="63" spans="2:7" outlineLevel="1" x14ac:dyDescent="0.25">
      <c r="B63" s="100" t="s">
        <v>319</v>
      </c>
      <c r="C63" s="422">
        <f>C62</f>
        <v>0</v>
      </c>
      <c r="D63" s="423">
        <f t="shared" si="4"/>
        <v>54545454.545454532</v>
      </c>
      <c r="E63" s="424">
        <v>0</v>
      </c>
      <c r="F63" s="425">
        <f t="shared" si="3"/>
        <v>0</v>
      </c>
      <c r="G63" s="511" t="s">
        <v>315</v>
      </c>
    </row>
    <row r="64" spans="2:7" outlineLevel="1" x14ac:dyDescent="0.25">
      <c r="B64" s="100" t="s">
        <v>320</v>
      </c>
      <c r="C64" s="422">
        <f>C58</f>
        <v>9090909.0909090918</v>
      </c>
      <c r="D64" s="423">
        <f t="shared" si="4"/>
        <v>54545454.545454532</v>
      </c>
      <c r="E64" s="424">
        <f>(D64*$D$6/2)</f>
        <v>1499999.9999999995</v>
      </c>
      <c r="F64" s="425">
        <f t="shared" si="3"/>
        <v>10590909.090909092</v>
      </c>
      <c r="G64" s="511" t="s">
        <v>315</v>
      </c>
    </row>
    <row r="65" spans="2:7" outlineLevel="1" x14ac:dyDescent="0.25">
      <c r="B65" s="100" t="s">
        <v>321</v>
      </c>
      <c r="C65" s="422">
        <v>0</v>
      </c>
      <c r="D65" s="423">
        <f t="shared" si="4"/>
        <v>45454545.454545438</v>
      </c>
      <c r="E65" s="424">
        <v>0</v>
      </c>
      <c r="F65" s="425">
        <f t="shared" si="3"/>
        <v>0</v>
      </c>
      <c r="G65" s="511" t="s">
        <v>315</v>
      </c>
    </row>
    <row r="66" spans="2:7" outlineLevel="1" x14ac:dyDescent="0.25">
      <c r="B66" s="100" t="s">
        <v>322</v>
      </c>
      <c r="C66" s="422">
        <f>C65</f>
        <v>0</v>
      </c>
      <c r="D66" s="423">
        <f t="shared" si="4"/>
        <v>45454545.454545438</v>
      </c>
      <c r="E66" s="424">
        <v>0</v>
      </c>
      <c r="F66" s="425">
        <f t="shared" si="3"/>
        <v>0</v>
      </c>
      <c r="G66" s="511" t="s">
        <v>315</v>
      </c>
    </row>
    <row r="67" spans="2:7" outlineLevel="1" x14ac:dyDescent="0.25">
      <c r="B67" s="100" t="s">
        <v>323</v>
      </c>
      <c r="C67" s="422">
        <f>C66</f>
        <v>0</v>
      </c>
      <c r="D67" s="423">
        <f t="shared" si="4"/>
        <v>45454545.454545438</v>
      </c>
      <c r="E67" s="424">
        <v>0</v>
      </c>
      <c r="F67" s="425">
        <f t="shared" si="3"/>
        <v>0</v>
      </c>
      <c r="G67" s="511" t="s">
        <v>315</v>
      </c>
    </row>
    <row r="68" spans="2:7" outlineLevel="1" x14ac:dyDescent="0.25">
      <c r="B68" s="100" t="s">
        <v>324</v>
      </c>
      <c r="C68" s="422">
        <f>C67</f>
        <v>0</v>
      </c>
      <c r="D68" s="423">
        <f t="shared" si="4"/>
        <v>45454545.454545438</v>
      </c>
      <c r="E68" s="424">
        <v>0</v>
      </c>
      <c r="F68" s="425">
        <f t="shared" si="3"/>
        <v>0</v>
      </c>
      <c r="G68" s="511" t="s">
        <v>315</v>
      </c>
    </row>
    <row r="69" spans="2:7" outlineLevel="1" x14ac:dyDescent="0.25">
      <c r="B69" s="100" t="s">
        <v>325</v>
      </c>
      <c r="C69" s="422">
        <f>C68</f>
        <v>0</v>
      </c>
      <c r="D69" s="423">
        <f t="shared" si="4"/>
        <v>45454545.454545438</v>
      </c>
      <c r="E69" s="424">
        <v>0</v>
      </c>
      <c r="F69" s="425">
        <f t="shared" si="3"/>
        <v>0</v>
      </c>
      <c r="G69" s="511" t="s">
        <v>315</v>
      </c>
    </row>
    <row r="70" spans="2:7" outlineLevel="1" x14ac:dyDescent="0.25">
      <c r="B70" s="100" t="s">
        <v>326</v>
      </c>
      <c r="C70" s="422">
        <f>C64</f>
        <v>9090909.0909090918</v>
      </c>
      <c r="D70" s="423">
        <f t="shared" si="4"/>
        <v>45454545.454545438</v>
      </c>
      <c r="E70" s="424">
        <f>(D70*$D$6/2)</f>
        <v>1249999.9999999995</v>
      </c>
      <c r="F70" s="425">
        <f t="shared" si="3"/>
        <v>10340909.090909092</v>
      </c>
      <c r="G70" s="511" t="s">
        <v>315</v>
      </c>
    </row>
    <row r="71" spans="2:7" outlineLevel="1" x14ac:dyDescent="0.25">
      <c r="B71" s="100" t="s">
        <v>327</v>
      </c>
      <c r="C71" s="422">
        <v>0</v>
      </c>
      <c r="D71" s="423">
        <f t="shared" si="4"/>
        <v>36363636.363636345</v>
      </c>
      <c r="E71" s="424">
        <v>0</v>
      </c>
      <c r="F71" s="425">
        <f t="shared" si="3"/>
        <v>0</v>
      </c>
    </row>
    <row r="72" spans="2:7" outlineLevel="1" x14ac:dyDescent="0.25">
      <c r="B72" s="100" t="s">
        <v>328</v>
      </c>
      <c r="C72" s="422">
        <f>C71</f>
        <v>0</v>
      </c>
      <c r="D72" s="423">
        <f t="shared" si="4"/>
        <v>36363636.363636345</v>
      </c>
      <c r="E72" s="424">
        <v>0</v>
      </c>
      <c r="F72" s="425">
        <f t="shared" si="3"/>
        <v>0</v>
      </c>
    </row>
    <row r="73" spans="2:7" outlineLevel="1" x14ac:dyDescent="0.25">
      <c r="B73" s="100" t="s">
        <v>329</v>
      </c>
      <c r="C73" s="422">
        <f>C72</f>
        <v>0</v>
      </c>
      <c r="D73" s="423">
        <f t="shared" si="4"/>
        <v>36363636.363636345</v>
      </c>
      <c r="E73" s="424">
        <v>0</v>
      </c>
      <c r="F73" s="425">
        <f t="shared" si="3"/>
        <v>0</v>
      </c>
    </row>
    <row r="74" spans="2:7" outlineLevel="1" x14ac:dyDescent="0.25">
      <c r="B74" s="100" t="s">
        <v>330</v>
      </c>
      <c r="C74" s="422">
        <f>C73</f>
        <v>0</v>
      </c>
      <c r="D74" s="423">
        <f t="shared" si="4"/>
        <v>36363636.363636345</v>
      </c>
      <c r="E74" s="424">
        <v>0</v>
      </c>
      <c r="F74" s="425">
        <f t="shared" si="3"/>
        <v>0</v>
      </c>
    </row>
    <row r="75" spans="2:7" outlineLevel="1" x14ac:dyDescent="0.25">
      <c r="B75" s="100" t="s">
        <v>331</v>
      </c>
      <c r="C75" s="422">
        <f>C74</f>
        <v>0</v>
      </c>
      <c r="D75" s="423">
        <f t="shared" si="4"/>
        <v>36363636.363636345</v>
      </c>
      <c r="E75" s="424">
        <v>0</v>
      </c>
      <c r="F75" s="425">
        <f t="shared" ref="F75:F94" si="5">C75+E75</f>
        <v>0</v>
      </c>
    </row>
    <row r="76" spans="2:7" outlineLevel="1" x14ac:dyDescent="0.25">
      <c r="B76" s="100" t="s">
        <v>332</v>
      </c>
      <c r="C76" s="422">
        <f>C70</f>
        <v>9090909.0909090918</v>
      </c>
      <c r="D76" s="423">
        <f t="shared" ref="D76:D94" si="6">+D75-C75</f>
        <v>36363636.363636345</v>
      </c>
      <c r="E76" s="424">
        <f>(D76*$D$6/2)</f>
        <v>999999.99999999953</v>
      </c>
      <c r="F76" s="425">
        <f t="shared" si="5"/>
        <v>10090909.090909092</v>
      </c>
    </row>
    <row r="77" spans="2:7" outlineLevel="1" x14ac:dyDescent="0.25">
      <c r="B77" s="100" t="s">
        <v>333</v>
      </c>
      <c r="C77" s="422">
        <v>0</v>
      </c>
      <c r="D77" s="423">
        <f t="shared" si="6"/>
        <v>27272727.272727251</v>
      </c>
      <c r="E77" s="424">
        <v>0</v>
      </c>
      <c r="F77" s="425">
        <f t="shared" si="5"/>
        <v>0</v>
      </c>
    </row>
    <row r="78" spans="2:7" outlineLevel="1" x14ac:dyDescent="0.25">
      <c r="B78" s="100" t="s">
        <v>334</v>
      </c>
      <c r="C78" s="422">
        <f>C77</f>
        <v>0</v>
      </c>
      <c r="D78" s="423">
        <f t="shared" si="6"/>
        <v>27272727.272727251</v>
      </c>
      <c r="E78" s="424">
        <v>0</v>
      </c>
      <c r="F78" s="425">
        <f t="shared" si="5"/>
        <v>0</v>
      </c>
    </row>
    <row r="79" spans="2:7" outlineLevel="1" x14ac:dyDescent="0.25">
      <c r="B79" s="100" t="s">
        <v>335</v>
      </c>
      <c r="C79" s="422">
        <f>C78</f>
        <v>0</v>
      </c>
      <c r="D79" s="423">
        <f t="shared" si="6"/>
        <v>27272727.272727251</v>
      </c>
      <c r="E79" s="424">
        <v>0</v>
      </c>
      <c r="F79" s="425">
        <f t="shared" si="5"/>
        <v>0</v>
      </c>
    </row>
    <row r="80" spans="2:7" outlineLevel="1" x14ac:dyDescent="0.25">
      <c r="B80" s="100" t="s">
        <v>336</v>
      </c>
      <c r="C80" s="422">
        <f>C79</f>
        <v>0</v>
      </c>
      <c r="D80" s="423">
        <f t="shared" si="6"/>
        <v>27272727.272727251</v>
      </c>
      <c r="E80" s="424">
        <v>0</v>
      </c>
      <c r="F80" s="425">
        <f t="shared" si="5"/>
        <v>0</v>
      </c>
    </row>
    <row r="81" spans="2:10" outlineLevel="1" x14ac:dyDescent="0.25">
      <c r="B81" s="100" t="s">
        <v>337</v>
      </c>
      <c r="C81" s="422">
        <f>C80</f>
        <v>0</v>
      </c>
      <c r="D81" s="423">
        <f t="shared" si="6"/>
        <v>27272727.272727251</v>
      </c>
      <c r="E81" s="424">
        <v>0</v>
      </c>
      <c r="F81" s="425">
        <f t="shared" si="5"/>
        <v>0</v>
      </c>
    </row>
    <row r="82" spans="2:10" outlineLevel="1" x14ac:dyDescent="0.25">
      <c r="B82" s="100" t="s">
        <v>338</v>
      </c>
      <c r="C82" s="422">
        <f>C76</f>
        <v>9090909.0909090918</v>
      </c>
      <c r="D82" s="423">
        <f t="shared" si="6"/>
        <v>27272727.272727251</v>
      </c>
      <c r="E82" s="424">
        <f>(D82*$D$6/2)</f>
        <v>749999.99999999942</v>
      </c>
      <c r="F82" s="425">
        <f t="shared" si="5"/>
        <v>9840909.0909090918</v>
      </c>
    </row>
    <row r="83" spans="2:10" outlineLevel="1" x14ac:dyDescent="0.25">
      <c r="B83" s="100" t="s">
        <v>339</v>
      </c>
      <c r="C83" s="422">
        <v>0</v>
      </c>
      <c r="D83" s="423">
        <f t="shared" si="6"/>
        <v>18181818.181818157</v>
      </c>
      <c r="E83" s="424">
        <v>0</v>
      </c>
      <c r="F83" s="425">
        <f t="shared" si="5"/>
        <v>0</v>
      </c>
    </row>
    <row r="84" spans="2:10" outlineLevel="1" x14ac:dyDescent="0.25">
      <c r="B84" s="100" t="s">
        <v>340</v>
      </c>
      <c r="C84" s="422">
        <f>C83</f>
        <v>0</v>
      </c>
      <c r="D84" s="423">
        <f t="shared" si="6"/>
        <v>18181818.181818157</v>
      </c>
      <c r="E84" s="424">
        <v>0</v>
      </c>
      <c r="F84" s="425">
        <f t="shared" si="5"/>
        <v>0</v>
      </c>
    </row>
    <row r="85" spans="2:10" outlineLevel="1" x14ac:dyDescent="0.25">
      <c r="B85" s="100" t="s">
        <v>341</v>
      </c>
      <c r="C85" s="422">
        <f>C84</f>
        <v>0</v>
      </c>
      <c r="D85" s="423">
        <f t="shared" si="6"/>
        <v>18181818.181818157</v>
      </c>
      <c r="E85" s="424">
        <v>0</v>
      </c>
      <c r="F85" s="425">
        <f t="shared" si="5"/>
        <v>0</v>
      </c>
    </row>
    <row r="86" spans="2:10" outlineLevel="1" x14ac:dyDescent="0.25">
      <c r="B86" s="100" t="s">
        <v>342</v>
      </c>
      <c r="C86" s="422">
        <f>C85</f>
        <v>0</v>
      </c>
      <c r="D86" s="423">
        <f t="shared" si="6"/>
        <v>18181818.181818157</v>
      </c>
      <c r="E86" s="424">
        <v>0</v>
      </c>
      <c r="F86" s="425">
        <f t="shared" si="5"/>
        <v>0</v>
      </c>
    </row>
    <row r="87" spans="2:10" outlineLevel="1" x14ac:dyDescent="0.25">
      <c r="B87" s="100" t="s">
        <v>343</v>
      </c>
      <c r="C87" s="422">
        <f>C86</f>
        <v>0</v>
      </c>
      <c r="D87" s="423">
        <f t="shared" si="6"/>
        <v>18181818.181818157</v>
      </c>
      <c r="E87" s="424">
        <v>0</v>
      </c>
      <c r="F87" s="425">
        <f t="shared" si="5"/>
        <v>0</v>
      </c>
    </row>
    <row r="88" spans="2:10" outlineLevel="1" x14ac:dyDescent="0.25">
      <c r="B88" s="100" t="s">
        <v>344</v>
      </c>
      <c r="C88" s="422">
        <f>C82</f>
        <v>9090909.0909090918</v>
      </c>
      <c r="D88" s="423">
        <f t="shared" si="6"/>
        <v>18181818.181818157</v>
      </c>
      <c r="E88" s="424">
        <f>(D88*$D$6/2)</f>
        <v>499999.99999999936</v>
      </c>
      <c r="F88" s="425">
        <f t="shared" si="5"/>
        <v>9590909.0909090918</v>
      </c>
    </row>
    <row r="89" spans="2:10" outlineLevel="1" x14ac:dyDescent="0.25">
      <c r="B89" s="100" t="s">
        <v>345</v>
      </c>
      <c r="C89" s="422">
        <v>0</v>
      </c>
      <c r="D89" s="423">
        <f t="shared" si="6"/>
        <v>9090909.0909090657</v>
      </c>
      <c r="E89" s="424">
        <v>0</v>
      </c>
      <c r="F89" s="425">
        <f t="shared" si="5"/>
        <v>0</v>
      </c>
    </row>
    <row r="90" spans="2:10" outlineLevel="1" x14ac:dyDescent="0.25">
      <c r="B90" s="100" t="s">
        <v>346</v>
      </c>
      <c r="C90" s="422">
        <f>C89</f>
        <v>0</v>
      </c>
      <c r="D90" s="423">
        <f t="shared" si="6"/>
        <v>9090909.0909090657</v>
      </c>
      <c r="E90" s="424">
        <v>0</v>
      </c>
      <c r="F90" s="425">
        <f t="shared" si="5"/>
        <v>0</v>
      </c>
    </row>
    <row r="91" spans="2:10" outlineLevel="1" x14ac:dyDescent="0.25">
      <c r="B91" s="100" t="s">
        <v>347</v>
      </c>
      <c r="C91" s="422">
        <f>C90</f>
        <v>0</v>
      </c>
      <c r="D91" s="423">
        <f t="shared" si="6"/>
        <v>9090909.0909090657</v>
      </c>
      <c r="E91" s="424">
        <v>0</v>
      </c>
      <c r="F91" s="425">
        <f t="shared" si="5"/>
        <v>0</v>
      </c>
    </row>
    <row r="92" spans="2:10" outlineLevel="1" x14ac:dyDescent="0.25">
      <c r="B92" s="100" t="s">
        <v>348</v>
      </c>
      <c r="C92" s="422">
        <f>C91</f>
        <v>0</v>
      </c>
      <c r="D92" s="423">
        <f t="shared" si="6"/>
        <v>9090909.0909090657</v>
      </c>
      <c r="E92" s="424">
        <v>0</v>
      </c>
      <c r="F92" s="425">
        <f t="shared" si="5"/>
        <v>0</v>
      </c>
    </row>
    <row r="93" spans="2:10" outlineLevel="1" x14ac:dyDescent="0.25">
      <c r="B93" s="100" t="s">
        <v>349</v>
      </c>
      <c r="C93" s="422">
        <f>C92</f>
        <v>0</v>
      </c>
      <c r="D93" s="423">
        <f t="shared" si="6"/>
        <v>9090909.0909090657</v>
      </c>
      <c r="E93" s="424">
        <v>0</v>
      </c>
      <c r="F93" s="425">
        <f t="shared" si="5"/>
        <v>0</v>
      </c>
    </row>
    <row r="94" spans="2:10" outlineLevel="1" x14ac:dyDescent="0.25">
      <c r="B94" s="100" t="s">
        <v>350</v>
      </c>
      <c r="C94" s="422">
        <f>C88</f>
        <v>9090909.0909090918</v>
      </c>
      <c r="D94" s="423">
        <f t="shared" si="6"/>
        <v>9090909.0909090657</v>
      </c>
      <c r="E94" s="424">
        <f>(D94*$D$6/2)</f>
        <v>249999.9999999993</v>
      </c>
      <c r="F94" s="425">
        <f t="shared" si="5"/>
        <v>9340909.0909090918</v>
      </c>
    </row>
    <row r="95" spans="2:10" s="11" customFormat="1" ht="16.5" customHeight="1" thickBot="1" x14ac:dyDescent="0.3">
      <c r="B95" s="10" t="s">
        <v>351</v>
      </c>
      <c r="C95" s="426">
        <f>SUM(C11:C94)</f>
        <v>100000000.00000001</v>
      </c>
      <c r="D95" s="101"/>
      <c r="E95" s="426">
        <f>SUM(E11:E94)</f>
        <v>24750000</v>
      </c>
      <c r="F95" s="427">
        <f>SUM(F11:F94)</f>
        <v>124750000.00000003</v>
      </c>
      <c r="G95" s="2"/>
      <c r="H95" s="2"/>
      <c r="I95" s="2"/>
      <c r="J95" s="2"/>
    </row>
    <row r="96" spans="2:10" ht="16.5" customHeight="1" thickTop="1" x14ac:dyDescent="0.25">
      <c r="B96" s="511" t="s">
        <v>352</v>
      </c>
    </row>
    <row r="97" spans="5:5" x14ac:dyDescent="0.25">
      <c r="E97" s="390"/>
    </row>
  </sheetData>
  <mergeCells count="1">
    <mergeCell ref="B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B1:V20"/>
  <sheetViews>
    <sheetView showGridLines="0" view="pageBreakPreview" topLeftCell="A3" zoomScale="84" zoomScaleNormal="75" zoomScaleSheetLayoutView="84" workbookViewId="0">
      <selection activeCell="B14" sqref="B14"/>
    </sheetView>
  </sheetViews>
  <sheetFormatPr defaultRowHeight="15.75" x14ac:dyDescent="0.25"/>
  <cols>
    <col min="2" max="2" width="29.375" style="511" customWidth="1"/>
    <col min="3" max="3" width="19.375" style="511" customWidth="1"/>
    <col min="4" max="4" width="18.375" style="511" customWidth="1"/>
    <col min="5" max="5" width="11.625" style="511" customWidth="1"/>
    <col min="6" max="6" width="18.125" style="511" customWidth="1"/>
    <col min="7" max="7" width="11.875" style="511" customWidth="1"/>
    <col min="8" max="8" width="9" style="511" customWidth="1"/>
    <col min="9" max="9" width="32.375" style="511" hidden="1" customWidth="1"/>
    <col min="10" max="10" width="42.625" style="511" hidden="1" customWidth="1"/>
    <col min="11" max="11" width="12.375" style="511" hidden="1" customWidth="1"/>
    <col min="12" max="22" width="9" style="511" customWidth="1"/>
  </cols>
  <sheetData>
    <row r="1" spans="2:11" x14ac:dyDescent="0.25">
      <c r="B1" s="3"/>
      <c r="C1" s="4"/>
      <c r="D1" s="4"/>
      <c r="E1" s="4"/>
    </row>
    <row r="2" spans="2:11" ht="28.5" customHeight="1" thickBot="1" x14ac:dyDescent="0.35">
      <c r="B2" s="539" t="s">
        <v>353</v>
      </c>
      <c r="C2" s="533"/>
      <c r="D2" s="533"/>
      <c r="E2" s="533"/>
      <c r="F2" s="534" t="s">
        <v>354</v>
      </c>
      <c r="G2" s="533"/>
      <c r="I2" s="511" t="s">
        <v>355</v>
      </c>
    </row>
    <row r="3" spans="2:11" ht="16.5" customHeight="1" thickTop="1" x14ac:dyDescent="0.25">
      <c r="B3" s="537" t="s">
        <v>356</v>
      </c>
      <c r="C3" s="535" t="s">
        <v>357</v>
      </c>
      <c r="D3" s="118" t="s">
        <v>358</v>
      </c>
      <c r="E3" s="118"/>
      <c r="F3" s="118" t="s">
        <v>359</v>
      </c>
      <c r="G3" s="119"/>
      <c r="I3" s="428" t="s">
        <v>360</v>
      </c>
      <c r="J3" s="429" t="s">
        <v>361</v>
      </c>
      <c r="K3" s="430" t="s">
        <v>362</v>
      </c>
    </row>
    <row r="4" spans="2:11" x14ac:dyDescent="0.25">
      <c r="B4" s="538"/>
      <c r="C4" s="536"/>
      <c r="D4" s="326" t="s">
        <v>363</v>
      </c>
      <c r="E4" s="326" t="s">
        <v>364</v>
      </c>
      <c r="F4" s="326" t="s">
        <v>363</v>
      </c>
      <c r="G4" s="326" t="s">
        <v>364</v>
      </c>
      <c r="H4" s="23"/>
      <c r="I4" s="431" t="s">
        <v>365</v>
      </c>
      <c r="J4" s="432" t="s">
        <v>366</v>
      </c>
      <c r="K4" s="433">
        <v>80000</v>
      </c>
    </row>
    <row r="5" spans="2:11" ht="19.149999999999999" customHeight="1" x14ac:dyDescent="0.25">
      <c r="B5" s="21" t="s">
        <v>367</v>
      </c>
      <c r="C5" s="434">
        <f>ProdPlan!G4*1%</f>
        <v>5111100000</v>
      </c>
      <c r="D5" s="435">
        <f>C5*E5</f>
        <v>4088880000</v>
      </c>
      <c r="E5" s="191">
        <v>0.8</v>
      </c>
      <c r="F5" s="435">
        <f>+C5*G5</f>
        <v>1022219999.9999998</v>
      </c>
      <c r="G5" s="193">
        <f>1-E5</f>
        <v>0.19999999999999996</v>
      </c>
      <c r="I5" s="431" t="s">
        <v>368</v>
      </c>
      <c r="J5" s="432" t="s">
        <v>369</v>
      </c>
      <c r="K5" s="433">
        <v>80000</v>
      </c>
    </row>
    <row r="6" spans="2:11" ht="19.149999999999999" hidden="1" customHeight="1" x14ac:dyDescent="0.25">
      <c r="B6" s="34"/>
      <c r="C6" s="436"/>
      <c r="D6" s="437"/>
      <c r="E6" s="438"/>
      <c r="F6" s="437"/>
      <c r="G6" s="439"/>
      <c r="I6" s="431"/>
      <c r="J6" s="432"/>
      <c r="K6" s="433"/>
    </row>
    <row r="7" spans="2:11" ht="19.149999999999999" customHeight="1" x14ac:dyDescent="0.25">
      <c r="B7" s="126" t="s">
        <v>370</v>
      </c>
      <c r="C7" s="436">
        <f>Labour!F33</f>
        <v>253000</v>
      </c>
      <c r="D7" s="437">
        <f t="shared" ref="D7:D16" si="0">C7*E7</f>
        <v>177100</v>
      </c>
      <c r="E7" s="192">
        <v>0.7</v>
      </c>
      <c r="F7" s="437">
        <f t="shared" ref="F7:F16" si="1">+C7*G7</f>
        <v>75900.000000000015</v>
      </c>
      <c r="G7" s="193">
        <f t="shared" ref="G7:G16" si="2">1-E7</f>
        <v>0.30000000000000004</v>
      </c>
      <c r="I7" s="431" t="s">
        <v>371</v>
      </c>
      <c r="J7" s="432" t="s">
        <v>372</v>
      </c>
      <c r="K7" s="433">
        <v>2040</v>
      </c>
    </row>
    <row r="8" spans="2:11" ht="19.149999999999999" customHeight="1" x14ac:dyDescent="0.25">
      <c r="B8" s="126" t="s">
        <v>149</v>
      </c>
      <c r="C8" s="436">
        <f>Depreciate!E7</f>
        <v>21714285.714285713</v>
      </c>
      <c r="D8" s="437">
        <f t="shared" si="0"/>
        <v>21714285.714285713</v>
      </c>
      <c r="E8" s="192">
        <v>1</v>
      </c>
      <c r="F8" s="437">
        <f t="shared" si="1"/>
        <v>0</v>
      </c>
      <c r="G8" s="193">
        <f t="shared" si="2"/>
        <v>0</v>
      </c>
      <c r="I8" s="431" t="s">
        <v>373</v>
      </c>
      <c r="J8" s="432" t="s">
        <v>374</v>
      </c>
      <c r="K8" s="433">
        <v>10000</v>
      </c>
    </row>
    <row r="9" spans="2:11" ht="27" customHeight="1" x14ac:dyDescent="0.25">
      <c r="B9" s="126" t="s">
        <v>375</v>
      </c>
      <c r="C9" s="436">
        <f>Labour!F18+Labour!F13</f>
        <v>108000000</v>
      </c>
      <c r="D9" s="437">
        <f t="shared" si="0"/>
        <v>0</v>
      </c>
      <c r="E9" s="192">
        <v>0</v>
      </c>
      <c r="F9" s="437">
        <f t="shared" si="1"/>
        <v>108000000</v>
      </c>
      <c r="G9" s="193">
        <f t="shared" si="2"/>
        <v>1</v>
      </c>
      <c r="I9" s="431"/>
      <c r="J9" s="432"/>
      <c r="K9" s="433"/>
    </row>
    <row r="10" spans="2:11" ht="19.149999999999999" customHeight="1" x14ac:dyDescent="0.25">
      <c r="B10" s="127" t="s">
        <v>161</v>
      </c>
      <c r="C10" s="436">
        <f>Labour!F19+Labour!F14</f>
        <v>12960000</v>
      </c>
      <c r="D10" s="437">
        <f t="shared" si="0"/>
        <v>0</v>
      </c>
      <c r="E10" s="192">
        <v>0</v>
      </c>
      <c r="F10" s="437">
        <f t="shared" si="1"/>
        <v>12960000</v>
      </c>
      <c r="G10" s="193">
        <f t="shared" si="2"/>
        <v>1</v>
      </c>
      <c r="I10" s="431" t="s">
        <v>376</v>
      </c>
      <c r="J10" s="432" t="s">
        <v>377</v>
      </c>
      <c r="K10" s="433">
        <v>31360</v>
      </c>
    </row>
    <row r="11" spans="2:11" ht="19.149999999999999" customHeight="1" x14ac:dyDescent="0.25">
      <c r="B11" s="126" t="s">
        <v>378</v>
      </c>
      <c r="C11" s="436">
        <f>Labour!F7</f>
        <v>14400000</v>
      </c>
      <c r="D11" s="437">
        <f t="shared" si="0"/>
        <v>14400000</v>
      </c>
      <c r="E11" s="192">
        <v>1</v>
      </c>
      <c r="F11" s="437">
        <f t="shared" si="1"/>
        <v>0</v>
      </c>
      <c r="G11" s="193">
        <f t="shared" si="2"/>
        <v>0</v>
      </c>
      <c r="I11" s="431" t="s">
        <v>379</v>
      </c>
      <c r="J11" s="432" t="s">
        <v>380</v>
      </c>
      <c r="K11" s="433">
        <v>7500</v>
      </c>
    </row>
    <row r="12" spans="2:11" ht="19.149999999999999" customHeight="1" x14ac:dyDescent="0.25">
      <c r="B12" s="127" t="str">
        <f>B10</f>
        <v>Ijtimoiy soliq</v>
      </c>
      <c r="C12" s="436">
        <f>Labour!F8</f>
        <v>1728000</v>
      </c>
      <c r="D12" s="437">
        <f t="shared" si="0"/>
        <v>1728000</v>
      </c>
      <c r="E12" s="192">
        <v>1</v>
      </c>
      <c r="F12" s="437">
        <f t="shared" si="1"/>
        <v>0</v>
      </c>
      <c r="G12" s="193">
        <f t="shared" si="2"/>
        <v>0</v>
      </c>
      <c r="I12" s="431" t="s">
        <v>381</v>
      </c>
      <c r="J12" s="432" t="s">
        <v>382</v>
      </c>
      <c r="K12" s="433">
        <v>6000</v>
      </c>
    </row>
    <row r="13" spans="2:11" ht="32.450000000000003" customHeight="1" x14ac:dyDescent="0.25">
      <c r="B13" s="126" t="s">
        <v>383</v>
      </c>
      <c r="C13" s="436">
        <f>F18*0.2%</f>
        <v>1022220000</v>
      </c>
      <c r="D13" s="437">
        <f t="shared" si="0"/>
        <v>511110000</v>
      </c>
      <c r="E13" s="192">
        <v>0.5</v>
      </c>
      <c r="F13" s="437">
        <f t="shared" si="1"/>
        <v>511110000</v>
      </c>
      <c r="G13" s="193">
        <f t="shared" si="2"/>
        <v>0.5</v>
      </c>
      <c r="I13" s="431"/>
      <c r="J13" s="432"/>
      <c r="K13" s="433"/>
    </row>
    <row r="14" spans="2:11" ht="34.15" customHeight="1" x14ac:dyDescent="0.25">
      <c r="B14" s="126" t="s">
        <v>384</v>
      </c>
      <c r="C14" s="436">
        <f>C8*1%</f>
        <v>217142.85714285713</v>
      </c>
      <c r="D14" s="437">
        <f t="shared" si="0"/>
        <v>151999.99999999997</v>
      </c>
      <c r="E14" s="192">
        <v>0.7</v>
      </c>
      <c r="F14" s="437">
        <f t="shared" si="1"/>
        <v>65142.857142857152</v>
      </c>
      <c r="G14" s="193">
        <f t="shared" si="2"/>
        <v>0.30000000000000004</v>
      </c>
      <c r="I14" s="431"/>
      <c r="J14" s="432"/>
      <c r="K14" s="433"/>
    </row>
    <row r="15" spans="2:11" ht="26.45" customHeight="1" x14ac:dyDescent="0.25">
      <c r="B15" s="126" t="s">
        <v>385</v>
      </c>
      <c r="C15" s="436">
        <f>F18*0.2%</f>
        <v>1022220000</v>
      </c>
      <c r="D15" s="437">
        <f t="shared" si="0"/>
        <v>715554000</v>
      </c>
      <c r="E15" s="192">
        <v>0.7</v>
      </c>
      <c r="F15" s="437">
        <f t="shared" si="1"/>
        <v>306666000.00000006</v>
      </c>
      <c r="G15" s="193">
        <f t="shared" si="2"/>
        <v>0.30000000000000004</v>
      </c>
      <c r="I15" s="431"/>
      <c r="J15" s="432"/>
      <c r="K15" s="433"/>
    </row>
    <row r="16" spans="2:11" ht="33" customHeight="1" x14ac:dyDescent="0.25">
      <c r="B16" s="126" t="s">
        <v>386</v>
      </c>
      <c r="C16" s="436">
        <f>F18*0.2%</f>
        <v>1022220000</v>
      </c>
      <c r="D16" s="437">
        <f t="shared" si="0"/>
        <v>511110000</v>
      </c>
      <c r="E16" s="192">
        <v>0.5</v>
      </c>
      <c r="F16" s="437">
        <f t="shared" si="1"/>
        <v>511110000</v>
      </c>
      <c r="G16" s="193">
        <f t="shared" si="2"/>
        <v>0.5</v>
      </c>
      <c r="I16" s="440"/>
      <c r="J16" s="441"/>
      <c r="K16" s="442"/>
    </row>
    <row r="17" spans="2:22" s="11" customFormat="1" ht="19.899999999999999" customHeight="1" thickBot="1" x14ac:dyDescent="0.3">
      <c r="B17" s="103" t="s">
        <v>387</v>
      </c>
      <c r="C17" s="443">
        <f>SUM(C5:C16)</f>
        <v>8337032428.5714283</v>
      </c>
      <c r="D17" s="444">
        <f>SUM(D5:D16)</f>
        <v>5864825385.7142859</v>
      </c>
      <c r="E17" s="445">
        <f>D17/C17</f>
        <v>0.7034667834102738</v>
      </c>
      <c r="F17" s="444">
        <f>SUM(F5:F16)</f>
        <v>2472207042.8571424</v>
      </c>
      <c r="G17" s="446">
        <f>F17/C17</f>
        <v>0.2965332165897262</v>
      </c>
      <c r="H17" s="2"/>
      <c r="I17" s="447"/>
      <c r="J17" s="448"/>
      <c r="K17" s="44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22" ht="24" customHeight="1" thickBot="1" x14ac:dyDescent="0.3">
      <c r="B18" s="108" t="s">
        <v>388</v>
      </c>
      <c r="C18" s="106"/>
      <c r="D18" s="107"/>
      <c r="E18" s="107"/>
      <c r="F18" s="115">
        <f>ProdPlan!D15*ProdPlan!F15+ProdPlan!D16*ProdPlan!F16+ProdPlan!D17*ProdPlan!F17+ProdPlan!D18*ProdPlan!F18+ProdPlan!D19*ProdPlan!F19+ProdPlan!D20*ProdPlan!F20</f>
        <v>511110000000</v>
      </c>
      <c r="G18" s="194"/>
      <c r="I18" s="450" t="s">
        <v>389</v>
      </c>
      <c r="J18" s="451"/>
      <c r="K18" s="452">
        <f>SUM(K4:K15)</f>
        <v>216900</v>
      </c>
    </row>
    <row r="19" spans="2:22" ht="26.45" customHeight="1" thickBot="1" x14ac:dyDescent="0.3">
      <c r="B19" s="104" t="s">
        <v>390</v>
      </c>
      <c r="C19" s="105"/>
      <c r="D19" s="105"/>
      <c r="E19" s="105"/>
      <c r="F19" s="453">
        <f>D17/(F18-F17)</f>
        <v>1.1530455398559909E-2</v>
      </c>
      <c r="G19" s="454"/>
    </row>
    <row r="20" spans="2:22" ht="16.5" customHeight="1" thickTop="1" x14ac:dyDescent="0.25"/>
  </sheetData>
  <mergeCells count="4">
    <mergeCell ref="F2:G2"/>
    <mergeCell ref="C3:C4"/>
    <mergeCell ref="B3:B4"/>
    <mergeCell ref="B2:E2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33"/>
  <sheetViews>
    <sheetView showGridLines="0" view="pageBreakPreview" zoomScale="70" zoomScaleNormal="75" zoomScaleSheetLayoutView="70" workbookViewId="0">
      <selection activeCell="F20" sqref="F20"/>
    </sheetView>
  </sheetViews>
  <sheetFormatPr defaultRowHeight="15.75" outlineLevelRow="1" x14ac:dyDescent="0.25"/>
  <cols>
    <col min="1" max="1" width="5.125" style="513" customWidth="1"/>
    <col min="2" max="2" width="37.875" style="511" customWidth="1"/>
    <col min="3" max="4" width="18.375" style="511" customWidth="1"/>
    <col min="5" max="5" width="15" style="511" customWidth="1"/>
    <col min="6" max="6" width="18.375" style="511" customWidth="1"/>
    <col min="7" max="8" width="15.875" style="513" customWidth="1"/>
    <col min="9" max="9" width="18" style="513" customWidth="1"/>
  </cols>
  <sheetData>
    <row r="1" spans="2:9" x14ac:dyDescent="0.25">
      <c r="B1" s="259"/>
      <c r="C1" s="260"/>
      <c r="D1" s="260"/>
      <c r="E1" s="260"/>
      <c r="F1" s="260"/>
      <c r="G1" s="261"/>
    </row>
    <row r="2" spans="2:9" ht="18.75" customHeight="1" x14ac:dyDescent="0.25">
      <c r="B2" s="262" t="s">
        <v>391</v>
      </c>
      <c r="C2" s="260"/>
      <c r="D2" s="260"/>
      <c r="E2" s="263"/>
      <c r="F2" s="260"/>
      <c r="G2" s="267" t="s">
        <v>392</v>
      </c>
    </row>
    <row r="3" spans="2:9" s="503" customFormat="1" ht="14.25" customHeight="1" x14ac:dyDescent="0.2">
      <c r="B3" s="269" t="s">
        <v>393</v>
      </c>
      <c r="C3" s="264" t="str">
        <f>ProdPlan!C23</f>
        <v>1-yil</v>
      </c>
      <c r="D3" s="264" t="str">
        <f>ProdPlan!D23</f>
        <v>2-yil</v>
      </c>
      <c r="E3" s="264" t="str">
        <f>ProdPlan!E23</f>
        <v>3-yil</v>
      </c>
      <c r="F3" s="264" t="str">
        <f>ProdPlan!F23</f>
        <v>4-yil</v>
      </c>
      <c r="G3" s="264" t="str">
        <f>ProdPlan!G23</f>
        <v>5-yil</v>
      </c>
      <c r="H3" s="264" t="str">
        <f>ProdPlan!H23</f>
        <v>6-yil</v>
      </c>
      <c r="I3" s="264" t="str">
        <f>ProdPlan!I23</f>
        <v>7-yil</v>
      </c>
    </row>
    <row r="4" spans="2:9" outlineLevel="1" x14ac:dyDescent="0.25">
      <c r="B4" s="285" t="s">
        <v>394</v>
      </c>
      <c r="C4" s="12">
        <f>ProdPlan!C24</f>
        <v>0.7</v>
      </c>
      <c r="D4" s="12">
        <f>ProdPlan!D24</f>
        <v>0.75</v>
      </c>
      <c r="E4" s="12">
        <f>ProdPlan!E24</f>
        <v>0.8</v>
      </c>
      <c r="F4" s="12">
        <f>ProdPlan!F24</f>
        <v>0.85</v>
      </c>
      <c r="G4" s="12">
        <f>ProdPlan!G24</f>
        <v>0.9</v>
      </c>
      <c r="H4" s="12">
        <f>ProdPlan!H24</f>
        <v>0.95</v>
      </c>
      <c r="I4" s="12">
        <f>ProdPlan!I24</f>
        <v>1</v>
      </c>
    </row>
    <row r="5" spans="2:9" x14ac:dyDescent="0.25">
      <c r="B5" s="285" t="str">
        <f>CostTotal!B5</f>
        <v>To'g'ridan-to'g'ri xarajatlar</v>
      </c>
      <c r="C5" s="455">
        <f>CostTotal!$D$5+CostTotal!$F$5*C4</f>
        <v>4804434000</v>
      </c>
      <c r="D5" s="455">
        <f>CostTotal!$D$5+CostTotal!$F$5*D4</f>
        <v>4855545000</v>
      </c>
      <c r="E5" s="455">
        <f>CostTotal!$D$5+CostTotal!$F$5*E4</f>
        <v>4906656000</v>
      </c>
      <c r="F5" s="455">
        <f>CostTotal!$D$5+CostTotal!$F$5*F4</f>
        <v>4957767000</v>
      </c>
      <c r="G5" s="455">
        <f>CostTotal!$D$5+CostTotal!$F$5*G4</f>
        <v>5008878000</v>
      </c>
      <c r="H5" s="455">
        <f>CostTotal!$D$5+CostTotal!$F$5*H4</f>
        <v>5059989000</v>
      </c>
      <c r="I5" s="455">
        <f>CostTotal!$D$5+CostTotal!$F$5*I4</f>
        <v>5111100000</v>
      </c>
    </row>
    <row r="6" spans="2:9" s="11" customFormat="1" x14ac:dyDescent="0.25">
      <c r="B6" s="270" t="str">
        <f>+CostTotal!B9</f>
        <v>Ishlab chiqarish xodimlarining ish haqi</v>
      </c>
      <c r="C6" s="455">
        <f>CostTotal!$D$9+CostTotal!$F$9*CostSold!C4</f>
        <v>75600000</v>
      </c>
      <c r="D6" s="455">
        <f>CostTotal!$D$9+CostTotal!$F$9*CostSold!D4</f>
        <v>81000000</v>
      </c>
      <c r="E6" s="455">
        <f>CostTotal!$D$9+CostTotal!$F$9*CostSold!E4</f>
        <v>86400000</v>
      </c>
      <c r="F6" s="455">
        <f>CostTotal!$D$9+CostTotal!$F$9*CostSold!F4</f>
        <v>91800000</v>
      </c>
      <c r="G6" s="455">
        <f>CostTotal!$D$9+CostTotal!$F$9*CostSold!G4</f>
        <v>97200000</v>
      </c>
      <c r="H6" s="455">
        <f>CostTotal!$D$9+CostTotal!$F$9*CostSold!H4</f>
        <v>102600000</v>
      </c>
      <c r="I6" s="455">
        <f>CostTotal!$D$9+CostTotal!$F$9*CostSold!I4</f>
        <v>108000000</v>
      </c>
    </row>
    <row r="7" spans="2:9" s="11" customFormat="1" x14ac:dyDescent="0.25">
      <c r="B7" s="271" t="str">
        <f>+CostTotal!B10</f>
        <v>Ijtimoiy soliq</v>
      </c>
      <c r="C7" s="456">
        <f>CostTotal!$D$10+CostTotal!$F$10*CostSold!C4</f>
        <v>9072000</v>
      </c>
      <c r="D7" s="456">
        <f>(CostTotal!$D$10+CostTotal!$F$10*CostSold!D4)</f>
        <v>9720000</v>
      </c>
      <c r="E7" s="456">
        <f>(CostTotal!$D$10+CostTotal!$F$10*CostSold!E4)</f>
        <v>10368000</v>
      </c>
      <c r="F7" s="456">
        <f>(CostTotal!$D$10+CostTotal!$F$10*CostSold!F4)</f>
        <v>11016000</v>
      </c>
      <c r="G7" s="456">
        <f>(CostTotal!$D$10+CostTotal!$F$10*CostSold!G4)</f>
        <v>11664000</v>
      </c>
      <c r="H7" s="456">
        <f>(CostTotal!$D$10+CostTotal!$F$10*CostSold!H4)</f>
        <v>12312000</v>
      </c>
      <c r="I7" s="456">
        <f>(CostTotal!$D$10+CostTotal!$F$10*CostSold!I4)</f>
        <v>12960000</v>
      </c>
    </row>
    <row r="8" spans="2:9" s="11" customFormat="1" x14ac:dyDescent="0.25">
      <c r="B8" s="270" t="str">
        <f>CostTotal!B7</f>
        <v>Operatsion xarajatlar</v>
      </c>
      <c r="C8" s="455">
        <f>CostTotal!$D$7+CostTotal!$F$7*CostSold!C4</f>
        <v>230230</v>
      </c>
      <c r="D8" s="455">
        <f>CostTotal!$D$7+CostTotal!$F$7*CostSold!D4</f>
        <v>234025</v>
      </c>
      <c r="E8" s="455">
        <f>CostTotal!$D$7+CostTotal!$F$7*CostSold!E4</f>
        <v>237820</v>
      </c>
      <c r="F8" s="455">
        <f>CostTotal!$D$7+CostTotal!$F$7*CostSold!F4</f>
        <v>241615</v>
      </c>
      <c r="G8" s="455">
        <f>CostTotal!$D$7+CostTotal!$F$7*CostSold!G4</f>
        <v>245410</v>
      </c>
      <c r="H8" s="455">
        <f>CostTotal!$D$7+CostTotal!$F$7*CostSold!H4</f>
        <v>249205</v>
      </c>
      <c r="I8" s="455">
        <f>CostTotal!$D$7+CostTotal!$F$7*CostSold!I4</f>
        <v>253000</v>
      </c>
    </row>
    <row r="9" spans="2:9" x14ac:dyDescent="0.25">
      <c r="B9" s="270" t="s">
        <v>395</v>
      </c>
      <c r="C9" s="455">
        <f>Depreciate!E7</f>
        <v>21714285.714285713</v>
      </c>
      <c r="D9" s="455">
        <f>Depreciate!F7</f>
        <v>21714285.714285713</v>
      </c>
      <c r="E9" s="455">
        <f>Depreciate!G7</f>
        <v>21714285.714285713</v>
      </c>
      <c r="F9" s="455">
        <f>Depreciate!H7</f>
        <v>21714285.714285713</v>
      </c>
      <c r="G9" s="455">
        <f>Depreciate!I7</f>
        <v>21714285.714285713</v>
      </c>
      <c r="H9" s="455">
        <f>Depreciate!J7</f>
        <v>21714285.714285713</v>
      </c>
      <c r="I9" s="455">
        <f>Depreciate!K7</f>
        <v>21714285.714285713</v>
      </c>
    </row>
    <row r="10" spans="2:9" x14ac:dyDescent="0.25">
      <c r="B10" s="272" t="s">
        <v>396</v>
      </c>
      <c r="C10" s="457">
        <f t="shared" ref="C10:I10" si="0">+C9+C8+C7+C6+C5</f>
        <v>4911050515.7142859</v>
      </c>
      <c r="D10" s="457">
        <f t="shared" si="0"/>
        <v>4968213310.7142859</v>
      </c>
      <c r="E10" s="457">
        <f t="shared" si="0"/>
        <v>5025376105.7142859</v>
      </c>
      <c r="F10" s="457">
        <f t="shared" si="0"/>
        <v>5082538900.7142859</v>
      </c>
      <c r="G10" s="457">
        <f t="shared" si="0"/>
        <v>5139701695.7142859</v>
      </c>
      <c r="H10" s="457">
        <f t="shared" si="0"/>
        <v>5196864490.7142859</v>
      </c>
      <c r="I10" s="457">
        <f t="shared" si="0"/>
        <v>5254027285.7142859</v>
      </c>
    </row>
    <row r="11" spans="2:9" x14ac:dyDescent="0.25">
      <c r="B11" s="270" t="str">
        <f>CostTotal!B11</f>
        <v>Ma'muriyat xodimlari ish haqi</v>
      </c>
      <c r="C11" s="455">
        <f>+CostTotal!$D$11+CostTotal!$F$11*CostSold!C4</f>
        <v>14400000</v>
      </c>
      <c r="D11" s="455">
        <f>+CostTotal!$D$11+CostTotal!$F$11*CostSold!D4</f>
        <v>14400000</v>
      </c>
      <c r="E11" s="455">
        <f>+CostTotal!$D$11+CostTotal!$F$11*CostSold!E4</f>
        <v>14400000</v>
      </c>
      <c r="F11" s="455">
        <f>+CostTotal!$D$11+CostTotal!$F$11*CostSold!F4</f>
        <v>14400000</v>
      </c>
      <c r="G11" s="455">
        <f>+CostTotal!$D$11+CostTotal!$F$11*CostSold!G4</f>
        <v>14400000</v>
      </c>
      <c r="H11" s="455">
        <f>+CostTotal!$D$11+CostTotal!$F$11*CostSold!H4</f>
        <v>14400000</v>
      </c>
      <c r="I11" s="455">
        <f>+CostTotal!$D$11+CostTotal!$F$11*CostSold!I4</f>
        <v>14400000</v>
      </c>
    </row>
    <row r="12" spans="2:9" s="24" customFormat="1" ht="18" customHeight="1" x14ac:dyDescent="0.25">
      <c r="B12" s="271" t="str">
        <f>+B7</f>
        <v>Ijtimoiy soliq</v>
      </c>
      <c r="C12" s="456">
        <f>+CostTotal!$D$12+CostTotal!$F$12*CostSold!C4</f>
        <v>1728000</v>
      </c>
      <c r="D12" s="456">
        <f>+CostTotal!$D$12+CostTotal!$F$12*CostSold!D4</f>
        <v>1728000</v>
      </c>
      <c r="E12" s="456">
        <f>+CostTotal!$D$12+CostTotal!$F$12*CostSold!E4</f>
        <v>1728000</v>
      </c>
      <c r="F12" s="456">
        <f>+CostTotal!$D$12+CostTotal!$F$12*CostSold!F4</f>
        <v>1728000</v>
      </c>
      <c r="G12" s="456">
        <f>+CostTotal!$D$12+CostTotal!$F$12*CostSold!G4</f>
        <v>1728000</v>
      </c>
      <c r="H12" s="456">
        <f>+CostTotal!$D$12+CostTotal!$F$12*CostSold!H4</f>
        <v>1728000</v>
      </c>
      <c r="I12" s="456">
        <f>+CostTotal!$D$12+CostTotal!$F$12*CostSold!I4</f>
        <v>1728000</v>
      </c>
    </row>
    <row r="13" spans="2:9" x14ac:dyDescent="0.25">
      <c r="B13" s="270" t="str">
        <f>CostTotal!B16</f>
        <v>Boshqa ko'zda tutilmagan xarajatlar</v>
      </c>
      <c r="C13" s="455">
        <f>CostTotal!$D$16+CostTotal!$F$16*C4</f>
        <v>868887000</v>
      </c>
      <c r="D13" s="455">
        <f>CostTotal!$D$16+CostTotal!$F$16*D4</f>
        <v>894442500</v>
      </c>
      <c r="E13" s="455">
        <f>CostTotal!$D$16+CostTotal!$F$16*E4</f>
        <v>919998000</v>
      </c>
      <c r="F13" s="455">
        <f>CostTotal!$D$16+CostTotal!$F$16*F4</f>
        <v>945553500</v>
      </c>
      <c r="G13" s="455">
        <f>CostTotal!$D$16+CostTotal!$F$16*G4</f>
        <v>971109000</v>
      </c>
      <c r="H13" s="455">
        <f>CostTotal!$D$16+CostTotal!$F$16*H4</f>
        <v>996664500</v>
      </c>
      <c r="I13" s="455">
        <f>CostTotal!$D$16+CostTotal!$F$16*I4</f>
        <v>1022220000</v>
      </c>
    </row>
    <row r="14" spans="2:9" ht="31.9" customHeight="1" x14ac:dyDescent="0.25">
      <c r="B14" s="270" t="str">
        <f>CostTotal!B14</f>
        <v xml:space="preserve">Asosiy vositalarga texnik xizmat ko'rsatish va joriy ta'mirlash </v>
      </c>
      <c r="C14" s="455">
        <f>CostTotal!$D$14+CostTotal!$F$14*C4</f>
        <v>197599.99999999997</v>
      </c>
      <c r="D14" s="455">
        <f>CostTotal!$D$14+CostTotal!$F$14*D4</f>
        <v>200857.14285714284</v>
      </c>
      <c r="E14" s="455">
        <f>CostTotal!$D$14+CostTotal!$F$14*E4</f>
        <v>204114.28571428568</v>
      </c>
      <c r="F14" s="455">
        <f>CostTotal!$D$14+CostTotal!$F$14*F4</f>
        <v>207371.42857142855</v>
      </c>
      <c r="G14" s="455">
        <f>CostTotal!$D$14+CostTotal!$F$14*G4</f>
        <v>210628.57142857142</v>
      </c>
      <c r="H14" s="455">
        <f>CostTotal!$D$14+CostTotal!$F$14*H4</f>
        <v>213885.71428571426</v>
      </c>
      <c r="I14" s="455">
        <f>CostTotal!$D$14+CostTotal!$F$14*I4</f>
        <v>217142.85714285713</v>
      </c>
    </row>
    <row r="15" spans="2:9" x14ac:dyDescent="0.25">
      <c r="B15" s="270" t="s">
        <v>397</v>
      </c>
      <c r="C15" s="455">
        <f>CostTotal!$D$15+CostTotal!$F$15*C4</f>
        <v>930220200</v>
      </c>
      <c r="D15" s="455">
        <f>CostTotal!$D$15+CostTotal!$F$15*D4</f>
        <v>945553500</v>
      </c>
      <c r="E15" s="455">
        <f>CostTotal!$D$15+CostTotal!$F$15*E4</f>
        <v>960886800</v>
      </c>
      <c r="F15" s="455">
        <f>CostTotal!$D$15+CostTotal!$F$15*F4</f>
        <v>976220100</v>
      </c>
      <c r="G15" s="455">
        <f>CostTotal!$D$15+CostTotal!$F$15*G4</f>
        <v>991553400</v>
      </c>
      <c r="H15" s="455">
        <f>CostTotal!$D$15+CostTotal!$F$15*H4</f>
        <v>1006886700</v>
      </c>
      <c r="I15" s="455">
        <f>CostTotal!$D$15+CostTotal!$F$15*I4</f>
        <v>1022220000</v>
      </c>
    </row>
    <row r="16" spans="2:9" ht="18" customHeight="1" x14ac:dyDescent="0.25">
      <c r="B16" s="270" t="str">
        <f>CostTotal!B13</f>
        <v xml:space="preserve">Boshqa ma'muriy xarajatlar </v>
      </c>
      <c r="C16" s="455">
        <f>CostTotal!$D$13+CostTotal!$F$13*C4</f>
        <v>868887000</v>
      </c>
      <c r="D16" s="455">
        <f>CostTotal!$D$13+CostTotal!$F$13*D4</f>
        <v>894442500</v>
      </c>
      <c r="E16" s="455">
        <f>CostTotal!$D$13+CostTotal!$F$13*E4</f>
        <v>919998000</v>
      </c>
      <c r="F16" s="455">
        <f>CostTotal!$D$13+CostTotal!$F$13*F4</f>
        <v>945553500</v>
      </c>
      <c r="G16" s="455">
        <f>CostTotal!$D$13+CostTotal!$F$13*G4</f>
        <v>971109000</v>
      </c>
      <c r="H16" s="455">
        <f>CostTotal!$D$13+CostTotal!$F$13*H4</f>
        <v>996664500</v>
      </c>
      <c r="I16" s="455">
        <f>CostTotal!$D$13+CostTotal!$F$13*I4</f>
        <v>1022220000</v>
      </c>
    </row>
    <row r="17" spans="2:9" s="11" customFormat="1" x14ac:dyDescent="0.25">
      <c r="B17" s="282" t="s">
        <v>398</v>
      </c>
      <c r="C17" s="457">
        <f t="shared" ref="C17:I17" si="1">SUM(C11:C16)</f>
        <v>2684319800</v>
      </c>
      <c r="D17" s="457">
        <f t="shared" si="1"/>
        <v>2750767357.1428571</v>
      </c>
      <c r="E17" s="457">
        <f t="shared" si="1"/>
        <v>2817214914.2857141</v>
      </c>
      <c r="F17" s="457">
        <f t="shared" si="1"/>
        <v>2883662471.4285717</v>
      </c>
      <c r="G17" s="457">
        <f t="shared" si="1"/>
        <v>2950110028.5714283</v>
      </c>
      <c r="H17" s="457">
        <f t="shared" si="1"/>
        <v>3016557585.7142859</v>
      </c>
      <c r="I17" s="457">
        <f t="shared" si="1"/>
        <v>3083005142.8571429</v>
      </c>
    </row>
    <row r="18" spans="2:9" s="11" customFormat="1" x14ac:dyDescent="0.25">
      <c r="B18" s="282" t="s">
        <v>370</v>
      </c>
      <c r="C18" s="457">
        <f t="shared" ref="C18:I18" si="2">+C10+C17</f>
        <v>7595370315.7142859</v>
      </c>
      <c r="D18" s="457">
        <f t="shared" si="2"/>
        <v>7718980667.8571434</v>
      </c>
      <c r="E18" s="457">
        <f t="shared" si="2"/>
        <v>7842591020</v>
      </c>
      <c r="F18" s="457">
        <f t="shared" si="2"/>
        <v>7966201372.1428576</v>
      </c>
      <c r="G18" s="457">
        <f t="shared" si="2"/>
        <v>8089811724.2857141</v>
      </c>
      <c r="H18" s="457">
        <f t="shared" si="2"/>
        <v>8213422076.4285717</v>
      </c>
      <c r="I18" s="457">
        <f t="shared" si="2"/>
        <v>8337032428.5714283</v>
      </c>
    </row>
    <row r="19" spans="2:9" x14ac:dyDescent="0.25">
      <c r="B19" s="285" t="s">
        <v>399</v>
      </c>
      <c r="C19" s="457">
        <f>SUM(Loans!E12:E23)</f>
        <v>18000000</v>
      </c>
      <c r="D19" s="457">
        <f>SUM(Loans!E24:E35)</f>
        <v>18000000</v>
      </c>
      <c r="E19" s="457">
        <f>SUM(Loans!E36:E47)</f>
        <v>17100000</v>
      </c>
      <c r="F19" s="455">
        <f>SUM(Loans!E48:E59)</f>
        <v>13649999.999999985</v>
      </c>
      <c r="G19" s="455">
        <f>SUM(Loans!E60:E72)</f>
        <v>10724999.999999985</v>
      </c>
      <c r="H19" s="455">
        <f>SUM(Loans!E72:E83)</f>
        <v>6449999.9999999888</v>
      </c>
      <c r="I19" s="455">
        <f>SUM(Loans!E84:E95)</f>
        <v>2849999.9999999893</v>
      </c>
    </row>
    <row r="20" spans="2:9" s="11" customFormat="1" ht="19.5" customHeight="1" x14ac:dyDescent="0.25">
      <c r="B20" s="282" t="s">
        <v>400</v>
      </c>
      <c r="C20" s="457">
        <f>SUM(C19:C19)</f>
        <v>18000000</v>
      </c>
      <c r="D20" s="457">
        <f>SUM(Loans!E24:E35)</f>
        <v>18000000</v>
      </c>
      <c r="E20" s="457">
        <f>SUM(E19)</f>
        <v>17100000</v>
      </c>
      <c r="F20" s="457">
        <f>SUM(F19)</f>
        <v>13649999.999999985</v>
      </c>
      <c r="G20" s="457">
        <f>SUM(G19)</f>
        <v>10724999.999999985</v>
      </c>
      <c r="H20" s="457">
        <f>SUM(Loans!E72:E83)</f>
        <v>6449999.9999999888</v>
      </c>
      <c r="I20" s="457">
        <f>SUM(Loans!E84:E95)</f>
        <v>2849999.9999999893</v>
      </c>
    </row>
    <row r="21" spans="2:9" s="11" customFormat="1" ht="36" customHeight="1" x14ac:dyDescent="0.25">
      <c r="B21" s="273" t="s">
        <v>401</v>
      </c>
      <c r="C21" s="457">
        <f t="shared" ref="C21:I21" si="3">C18+C20</f>
        <v>7613370315.7142859</v>
      </c>
      <c r="D21" s="457">
        <f t="shared" si="3"/>
        <v>7736980667.8571434</v>
      </c>
      <c r="E21" s="457">
        <f t="shared" si="3"/>
        <v>7859691020</v>
      </c>
      <c r="F21" s="457">
        <f t="shared" si="3"/>
        <v>7979851372.1428576</v>
      </c>
      <c r="G21" s="457">
        <f t="shared" si="3"/>
        <v>8100536724.2857141</v>
      </c>
      <c r="H21" s="457">
        <f t="shared" si="3"/>
        <v>8219872076.4285717</v>
      </c>
      <c r="I21" s="457">
        <f t="shared" si="3"/>
        <v>8339882428.5714283</v>
      </c>
    </row>
    <row r="23" spans="2:9" x14ac:dyDescent="0.25">
      <c r="C23" s="373"/>
      <c r="D23" s="373"/>
      <c r="E23" s="373"/>
    </row>
    <row r="24" spans="2:9" x14ac:dyDescent="0.25">
      <c r="B24" s="18"/>
    </row>
    <row r="25" spans="2:9" x14ac:dyDescent="0.25">
      <c r="B25" s="18"/>
    </row>
    <row r="26" spans="2:9" x14ac:dyDescent="0.25">
      <c r="B26" s="18"/>
    </row>
    <row r="27" spans="2:9" x14ac:dyDescent="0.25">
      <c r="B27" s="18"/>
    </row>
    <row r="28" spans="2:9" x14ac:dyDescent="0.25">
      <c r="B28" s="19"/>
    </row>
    <row r="29" spans="2:9" x14ac:dyDescent="0.25">
      <c r="B29" s="20"/>
    </row>
    <row r="30" spans="2:9" x14ac:dyDescent="0.25">
      <c r="B30" s="20"/>
    </row>
    <row r="31" spans="2:9" x14ac:dyDescent="0.25">
      <c r="B31" s="20"/>
    </row>
    <row r="32" spans="2:9" x14ac:dyDescent="0.25">
      <c r="B32" s="20"/>
    </row>
    <row r="33" spans="2:2" x14ac:dyDescent="0.25">
      <c r="B33" s="19"/>
    </row>
  </sheetData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6">
    <pageSetUpPr fitToPage="1"/>
  </sheetPr>
  <dimension ref="A1:N23"/>
  <sheetViews>
    <sheetView showGridLines="0" view="pageBreakPreview" zoomScale="70" zoomScaleNormal="75" zoomScaleSheetLayoutView="70" workbookViewId="0">
      <selection activeCell="D9" sqref="D9"/>
    </sheetView>
  </sheetViews>
  <sheetFormatPr defaultRowHeight="15.75" x14ac:dyDescent="0.25"/>
  <cols>
    <col min="1" max="1" width="7.875" style="513" customWidth="1"/>
    <col min="2" max="2" width="26.375" style="511" customWidth="1"/>
    <col min="3" max="3" width="12.5" style="511" customWidth="1"/>
    <col min="4" max="4" width="12.75" style="511" customWidth="1"/>
    <col min="5" max="5" width="13.75" style="511" customWidth="1"/>
    <col min="6" max="7" width="13.875" style="511" customWidth="1"/>
    <col min="8" max="9" width="13.125" style="511" customWidth="1"/>
    <col min="10" max="14" width="9" style="511" customWidth="1"/>
  </cols>
  <sheetData>
    <row r="1" spans="2:14" ht="21.75" customHeight="1" x14ac:dyDescent="0.25">
      <c r="B1" s="3"/>
      <c r="C1" s="4"/>
      <c r="D1" s="4"/>
      <c r="E1" s="23"/>
      <c r="F1" s="23"/>
    </row>
    <row r="2" spans="2:14" ht="30" customHeight="1" thickBot="1" x14ac:dyDescent="0.35">
      <c r="B2" s="112" t="s">
        <v>402</v>
      </c>
      <c r="F2" s="265"/>
      <c r="G2" s="265" t="s">
        <v>403</v>
      </c>
    </row>
    <row r="3" spans="2:14" ht="17.25" customHeight="1" thickTop="1" x14ac:dyDescent="0.25">
      <c r="B3" s="146" t="s">
        <v>404</v>
      </c>
      <c r="C3" s="131" t="str">
        <f>ProdPlan!C23</f>
        <v>1-yil</v>
      </c>
      <c r="D3" s="131" t="str">
        <f>ProdPlan!D23</f>
        <v>2-yil</v>
      </c>
      <c r="E3" s="131" t="str">
        <f>ProdPlan!E23</f>
        <v>3-yil</v>
      </c>
      <c r="F3" s="131" t="str">
        <f>ProdPlan!F23</f>
        <v>4-yil</v>
      </c>
      <c r="G3" s="131" t="str">
        <f>+ProdPlan!G23</f>
        <v>5-yil</v>
      </c>
      <c r="H3" s="131" t="str">
        <f>+ProdPlan!H23</f>
        <v>6-yil</v>
      </c>
      <c r="I3" s="131" t="str">
        <f>ProdPlan!I23</f>
        <v>7-yil</v>
      </c>
    </row>
    <row r="4" spans="2:14" s="11" customFormat="1" ht="22.15" customHeight="1" x14ac:dyDescent="0.25">
      <c r="B4" s="147" t="s">
        <v>405</v>
      </c>
      <c r="C4" s="471">
        <f>ProdPlan!C58</f>
        <v>357777000000</v>
      </c>
      <c r="D4" s="471">
        <f>ProdPlan!D58</f>
        <v>383332500000</v>
      </c>
      <c r="E4" s="471">
        <f>ProdPlan!E58</f>
        <v>408888000000</v>
      </c>
      <c r="F4" s="471">
        <f>ProdPlan!F58</f>
        <v>434443500000</v>
      </c>
      <c r="G4" s="471">
        <f>+ProdPlan!G58</f>
        <v>459999000000</v>
      </c>
      <c r="H4" s="471">
        <f>+ProdPlan!H58</f>
        <v>485554500000</v>
      </c>
      <c r="I4" s="471">
        <f>+ProdPlan!I58</f>
        <v>511110000000</v>
      </c>
      <c r="J4" s="2"/>
      <c r="K4" s="2"/>
      <c r="L4" s="2"/>
      <c r="M4" s="2"/>
      <c r="N4" s="2"/>
    </row>
    <row r="5" spans="2:14" ht="24.75" customHeight="1" x14ac:dyDescent="0.25">
      <c r="B5" s="148" t="s">
        <v>406</v>
      </c>
      <c r="C5" s="472">
        <f>Taxes!E5</f>
        <v>0</v>
      </c>
      <c r="D5" s="472">
        <f>Taxes!F5</f>
        <v>0</v>
      </c>
      <c r="E5" s="472">
        <f>Taxes!G5</f>
        <v>0</v>
      </c>
      <c r="F5" s="472">
        <f>Taxes!H5</f>
        <v>0</v>
      </c>
      <c r="G5" s="472"/>
      <c r="H5" s="472"/>
      <c r="I5" s="472"/>
    </row>
    <row r="6" spans="2:14" s="11" customFormat="1" ht="22.15" customHeight="1" x14ac:dyDescent="0.25">
      <c r="B6" s="149" t="s">
        <v>407</v>
      </c>
      <c r="C6" s="473">
        <f>ProdPlan!C58-C5</f>
        <v>357777000000</v>
      </c>
      <c r="D6" s="473">
        <f>ProdPlan!D58-D5</f>
        <v>383332500000</v>
      </c>
      <c r="E6" s="473">
        <f>ProdPlan!E58-E5</f>
        <v>408888000000</v>
      </c>
      <c r="F6" s="473">
        <f>ProdPlan!F58-F5</f>
        <v>434443500000</v>
      </c>
      <c r="G6" s="473">
        <f>ProdPlan!G58-G5</f>
        <v>459999000000</v>
      </c>
      <c r="H6" s="473">
        <f>ProdPlan!H58-H5</f>
        <v>485554500000</v>
      </c>
      <c r="I6" s="473">
        <f>ProdPlan!I58-I5</f>
        <v>511110000000</v>
      </c>
      <c r="J6" s="2"/>
      <c r="K6" s="2"/>
      <c r="L6" s="2"/>
      <c r="M6" s="2"/>
      <c r="N6" s="2"/>
    </row>
    <row r="7" spans="2:14" ht="22.15" customHeight="1" x14ac:dyDescent="0.25">
      <c r="B7" s="148" t="s">
        <v>408</v>
      </c>
      <c r="C7" s="472">
        <f>+CostSold!C10</f>
        <v>4911050515.7142859</v>
      </c>
      <c r="D7" s="472">
        <f>+CostSold!D10</f>
        <v>4968213310.7142859</v>
      </c>
      <c r="E7" s="472">
        <f>+CostSold!E10</f>
        <v>5025376105.7142859</v>
      </c>
      <c r="F7" s="472">
        <f>+CostSold!F10</f>
        <v>5082538900.7142859</v>
      </c>
      <c r="G7" s="472">
        <f>+CostSold!G10</f>
        <v>5139701695.7142859</v>
      </c>
      <c r="H7" s="472">
        <f>+CostSold!H10</f>
        <v>5196864490.7142859</v>
      </c>
      <c r="I7" s="472">
        <f>+CostSold!I10</f>
        <v>5254027285.7142859</v>
      </c>
    </row>
    <row r="8" spans="2:14" s="11" customFormat="1" ht="22.15" customHeight="1" x14ac:dyDescent="0.25">
      <c r="B8" s="149" t="s">
        <v>409</v>
      </c>
      <c r="C8" s="473">
        <f t="shared" ref="C8:I8" si="0">C6-C7</f>
        <v>352865949484.28571</v>
      </c>
      <c r="D8" s="473">
        <f t="shared" si="0"/>
        <v>378364286689.28571</v>
      </c>
      <c r="E8" s="473">
        <f t="shared" si="0"/>
        <v>403862623894.28571</v>
      </c>
      <c r="F8" s="473">
        <f t="shared" si="0"/>
        <v>429360961099.28571</v>
      </c>
      <c r="G8" s="473">
        <f t="shared" si="0"/>
        <v>454859298304.28571</v>
      </c>
      <c r="H8" s="473">
        <f t="shared" si="0"/>
        <v>480357635509.28571</v>
      </c>
      <c r="I8" s="473">
        <f t="shared" si="0"/>
        <v>505855972714.28571</v>
      </c>
      <c r="J8" s="2"/>
      <c r="K8" s="2"/>
      <c r="L8" s="2"/>
      <c r="M8" s="2"/>
      <c r="N8" s="2"/>
    </row>
    <row r="9" spans="2:14" ht="22.15" customHeight="1" x14ac:dyDescent="0.25">
      <c r="B9" s="148" t="s">
        <v>410</v>
      </c>
      <c r="C9" s="472">
        <f>CostSold!C11+CostSold!C12</f>
        <v>16128000</v>
      </c>
      <c r="D9" s="472">
        <f>CostSold!D11+CostSold!D12</f>
        <v>16128000</v>
      </c>
      <c r="E9" s="472">
        <f>CostSold!E11+CostSold!E12</f>
        <v>16128000</v>
      </c>
      <c r="F9" s="472">
        <f>CostSold!F11+CostSold!F12</f>
        <v>16128000</v>
      </c>
      <c r="G9" s="472">
        <f>CostSold!G11+CostSold!G12</f>
        <v>16128000</v>
      </c>
      <c r="H9" s="472">
        <f>CostSold!H11+CostSold!H12</f>
        <v>16128000</v>
      </c>
      <c r="I9" s="472">
        <f>CostSold!I11+CostSold!I12</f>
        <v>16128000</v>
      </c>
    </row>
    <row r="10" spans="2:14" ht="22.15" customHeight="1" x14ac:dyDescent="0.25">
      <c r="B10" s="150" t="s">
        <v>397</v>
      </c>
      <c r="C10" s="472">
        <f>CostSold!C15</f>
        <v>930220200</v>
      </c>
      <c r="D10" s="472">
        <f>CostSold!D15</f>
        <v>945553500</v>
      </c>
      <c r="E10" s="472">
        <f>CostSold!E15</f>
        <v>960886800</v>
      </c>
      <c r="F10" s="472">
        <f>CostSold!F15</f>
        <v>976220100</v>
      </c>
      <c r="G10" s="472">
        <f>CostSold!G15</f>
        <v>991553400</v>
      </c>
      <c r="H10" s="472">
        <f>CostSold!H15</f>
        <v>1006886700</v>
      </c>
      <c r="I10" s="472">
        <f>CostSold!I15</f>
        <v>1022220000</v>
      </c>
    </row>
    <row r="11" spans="2:14" ht="22.15" customHeight="1" x14ac:dyDescent="0.25">
      <c r="B11" s="151" t="s">
        <v>411</v>
      </c>
      <c r="C11" s="472">
        <f>+CostSold!C13+CostSold!C14+CostSold!C16</f>
        <v>1737971600</v>
      </c>
      <c r="D11" s="472">
        <f>+CostSold!D13+CostSold!D14+CostSold!D16</f>
        <v>1789085857.1428571</v>
      </c>
      <c r="E11" s="472">
        <f>+CostSold!E13+CostSold!E14+CostSold!E16</f>
        <v>1840200114.2857141</v>
      </c>
      <c r="F11" s="472">
        <f>+CostSold!F13+CostSold!F14+CostSold!F16</f>
        <v>1891314371.4285715</v>
      </c>
      <c r="G11" s="472">
        <f>+CostSold!G13+CostSold!G14+CostSold!G16</f>
        <v>1942428628.5714285</v>
      </c>
      <c r="H11" s="472">
        <f>+CostSold!H13+CostSold!H14+CostSold!H16</f>
        <v>1993542885.7142859</v>
      </c>
      <c r="I11" s="472">
        <f>+CostSold!I13+CostSold!I14+CostSold!I16</f>
        <v>2044657142.8571429</v>
      </c>
    </row>
    <row r="12" spans="2:14" s="11" customFormat="1" ht="22.15" customHeight="1" x14ac:dyDescent="0.25">
      <c r="B12" s="149" t="s">
        <v>412</v>
      </c>
      <c r="C12" s="473">
        <f t="shared" ref="C12:I12" si="1">C8-C9-C10-C11</f>
        <v>350181629684.28571</v>
      </c>
      <c r="D12" s="473">
        <f t="shared" si="1"/>
        <v>375613519332.14282</v>
      </c>
      <c r="E12" s="473">
        <f t="shared" si="1"/>
        <v>401045408980</v>
      </c>
      <c r="F12" s="473">
        <f t="shared" si="1"/>
        <v>426477298627.85712</v>
      </c>
      <c r="G12" s="473">
        <f t="shared" si="1"/>
        <v>451909188275.71429</v>
      </c>
      <c r="H12" s="473">
        <f t="shared" si="1"/>
        <v>477341077923.57141</v>
      </c>
      <c r="I12" s="473">
        <f t="shared" si="1"/>
        <v>502772967571.42859</v>
      </c>
      <c r="J12" s="2"/>
      <c r="K12" s="2"/>
      <c r="L12" s="2"/>
      <c r="M12" s="2"/>
      <c r="N12" s="2"/>
    </row>
    <row r="13" spans="2:14" ht="22.15" customHeight="1" x14ac:dyDescent="0.25">
      <c r="B13" s="148" t="s">
        <v>413</v>
      </c>
      <c r="C13" s="472">
        <f>CostSold!C20</f>
        <v>18000000</v>
      </c>
      <c r="D13" s="472">
        <f>CostSold!D20</f>
        <v>18000000</v>
      </c>
      <c r="E13" s="472">
        <f>CostSold!E20</f>
        <v>17100000</v>
      </c>
      <c r="F13" s="472">
        <f>CostSold!F20</f>
        <v>13649999.999999985</v>
      </c>
      <c r="G13" s="472">
        <f>CostSold!G20</f>
        <v>10724999.999999985</v>
      </c>
      <c r="H13" s="472">
        <f>CostSold!H20</f>
        <v>6449999.9999999888</v>
      </c>
      <c r="I13" s="472">
        <f>CostSold!I20</f>
        <v>2849999.9999999893</v>
      </c>
    </row>
    <row r="14" spans="2:14" s="11" customFormat="1" ht="25.5" customHeight="1" x14ac:dyDescent="0.25">
      <c r="B14" s="149" t="s">
        <v>414</v>
      </c>
      <c r="C14" s="473">
        <f t="shared" ref="C14:I14" si="2">C12-C13</f>
        <v>350163629684.28571</v>
      </c>
      <c r="D14" s="473">
        <f t="shared" si="2"/>
        <v>375595519332.14282</v>
      </c>
      <c r="E14" s="473">
        <f t="shared" si="2"/>
        <v>401028308980</v>
      </c>
      <c r="F14" s="473">
        <f t="shared" si="2"/>
        <v>426463648627.85712</v>
      </c>
      <c r="G14" s="473">
        <f t="shared" si="2"/>
        <v>451898463275.71429</v>
      </c>
      <c r="H14" s="473">
        <f t="shared" si="2"/>
        <v>477334627923.57141</v>
      </c>
      <c r="I14" s="473">
        <f t="shared" si="2"/>
        <v>502770117571.42859</v>
      </c>
      <c r="J14" s="2"/>
      <c r="K14" s="2"/>
      <c r="L14" s="2"/>
      <c r="M14" s="2"/>
      <c r="N14" s="2"/>
    </row>
    <row r="15" spans="2:14" ht="22.15" customHeight="1" x14ac:dyDescent="0.25">
      <c r="B15" s="148" t="s">
        <v>415</v>
      </c>
      <c r="C15" s="474">
        <f>Taxes!E13</f>
        <v>14311080000</v>
      </c>
      <c r="D15" s="474">
        <f>Taxes!F13</f>
        <v>15333300000</v>
      </c>
      <c r="E15" s="474">
        <f>Taxes!G13</f>
        <v>16355520000</v>
      </c>
      <c r="F15" s="474">
        <f>Taxes!H13</f>
        <v>17377740000</v>
      </c>
      <c r="G15" s="474">
        <f>Taxes!I13</f>
        <v>18399960000</v>
      </c>
      <c r="H15" s="474">
        <f>Taxes!J13</f>
        <v>19422180000</v>
      </c>
      <c r="I15" s="474">
        <f>Taxes!K13</f>
        <v>20444400000</v>
      </c>
    </row>
    <row r="16" spans="2:14" ht="22.15" hidden="1" customHeight="1" x14ac:dyDescent="0.25">
      <c r="B16" s="148" t="s">
        <v>416</v>
      </c>
      <c r="C16" s="472">
        <f>Taxes!E16</f>
        <v>0</v>
      </c>
      <c r="D16" s="472">
        <f>Taxes!F16</f>
        <v>0</v>
      </c>
      <c r="E16" s="472">
        <f>Taxes!G16</f>
        <v>0</v>
      </c>
      <c r="F16" s="472">
        <f>Taxes!H16</f>
        <v>0</v>
      </c>
      <c r="G16" s="472"/>
      <c r="H16" s="472"/>
      <c r="I16" s="472"/>
    </row>
    <row r="17" spans="2:14" s="11" customFormat="1" ht="22.15" customHeight="1" x14ac:dyDescent="0.25">
      <c r="B17" s="149" t="s">
        <v>417</v>
      </c>
      <c r="C17" s="473">
        <f t="shared" ref="C17:I17" si="3">C14-C15-C16</f>
        <v>335852549684.28571</v>
      </c>
      <c r="D17" s="473">
        <f t="shared" si="3"/>
        <v>360262219332.14282</v>
      </c>
      <c r="E17" s="473">
        <f t="shared" si="3"/>
        <v>384672788980</v>
      </c>
      <c r="F17" s="473">
        <f t="shared" si="3"/>
        <v>409085908627.85712</v>
      </c>
      <c r="G17" s="473">
        <f t="shared" si="3"/>
        <v>433498503275.71429</v>
      </c>
      <c r="H17" s="473">
        <f t="shared" si="3"/>
        <v>457912447923.57141</v>
      </c>
      <c r="I17" s="473">
        <f t="shared" si="3"/>
        <v>482325717571.42859</v>
      </c>
      <c r="J17" s="2"/>
      <c r="K17" s="2"/>
      <c r="L17" s="2"/>
      <c r="M17" s="2"/>
      <c r="N17" s="2"/>
    </row>
    <row r="18" spans="2:14" s="11" customFormat="1" ht="24.75" customHeight="1" x14ac:dyDescent="0.3">
      <c r="B18" s="152" t="s">
        <v>418</v>
      </c>
      <c r="C18" s="475"/>
      <c r="D18" s="475"/>
      <c r="E18" s="476"/>
      <c r="F18" s="476"/>
      <c r="G18" s="476"/>
      <c r="H18" s="476"/>
      <c r="I18" s="476"/>
      <c r="J18" s="2"/>
      <c r="K18" s="2"/>
      <c r="L18" s="2"/>
      <c r="M18" s="2"/>
      <c r="N18" s="2"/>
    </row>
    <row r="19" spans="2:14" ht="24" customHeight="1" x14ac:dyDescent="0.25">
      <c r="B19" s="153" t="s">
        <v>419</v>
      </c>
      <c r="C19" s="477">
        <f t="shared" ref="C19:I19" si="4">C17/C6</f>
        <v>0.93872034726739195</v>
      </c>
      <c r="D19" s="477">
        <f t="shared" si="4"/>
        <v>0.939816528293695</v>
      </c>
      <c r="E19" s="477">
        <f t="shared" si="4"/>
        <v>0.94077788778345173</v>
      </c>
      <c r="F19" s="477">
        <f t="shared" si="4"/>
        <v>0.94163201573474364</v>
      </c>
      <c r="G19" s="477">
        <f t="shared" si="4"/>
        <v>0.94239009927350781</v>
      </c>
      <c r="H19" s="477">
        <f t="shared" si="4"/>
        <v>0.94307116487144371</v>
      </c>
      <c r="I19" s="477">
        <f t="shared" si="4"/>
        <v>0.94368280325454124</v>
      </c>
    </row>
    <row r="20" spans="2:14" ht="23.25" customHeight="1" thickBot="1" x14ac:dyDescent="0.3">
      <c r="B20" s="6" t="s">
        <v>420</v>
      </c>
      <c r="C20" s="478">
        <f t="shared" ref="C20:I20" si="5">C8/C6</f>
        <v>0.98627343145111535</v>
      </c>
      <c r="D20" s="478">
        <f t="shared" si="5"/>
        <v>0.98703941536208306</v>
      </c>
      <c r="E20" s="478">
        <f t="shared" si="5"/>
        <v>0.98770965128417976</v>
      </c>
      <c r="F20" s="478">
        <f t="shared" si="5"/>
        <v>0.98830103592132401</v>
      </c>
      <c r="G20" s="478">
        <f t="shared" si="5"/>
        <v>0.98882671115434095</v>
      </c>
      <c r="H20" s="478">
        <f t="shared" si="5"/>
        <v>0.98929705215230357</v>
      </c>
      <c r="I20" s="478">
        <f t="shared" si="5"/>
        <v>0.98972035905046996</v>
      </c>
    </row>
    <row r="21" spans="2:14" ht="16.5" customHeight="1" thickTop="1" x14ac:dyDescent="0.25"/>
    <row r="22" spans="2:14" x14ac:dyDescent="0.25">
      <c r="C22" s="123"/>
      <c r="D22" s="123"/>
      <c r="E22" s="123"/>
      <c r="F22" s="123"/>
    </row>
    <row r="23" spans="2:14" x14ac:dyDescent="0.25">
      <c r="C23" s="123"/>
    </row>
  </sheetData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65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B1:J28"/>
  <sheetViews>
    <sheetView showGridLines="0" view="pageBreakPreview" zoomScale="84" zoomScaleNormal="100" zoomScaleSheetLayoutView="84" workbookViewId="0">
      <selection activeCell="G14" sqref="G14"/>
    </sheetView>
  </sheetViews>
  <sheetFormatPr defaultColWidth="8.75" defaultRowHeight="15" x14ac:dyDescent="0.25"/>
  <cols>
    <col min="1" max="1" width="4.75" style="511" customWidth="1"/>
    <col min="2" max="2" width="23.75" style="511" customWidth="1"/>
    <col min="3" max="3" width="0.125" style="511" customWidth="1"/>
    <col min="4" max="10" width="14.75" style="511" customWidth="1"/>
    <col min="11" max="43" width="8.75" style="511" customWidth="1"/>
    <col min="44" max="16384" width="8.75" style="511"/>
  </cols>
  <sheetData>
    <row r="1" spans="2:10" ht="18.75" customHeight="1" x14ac:dyDescent="0.3">
      <c r="B1" s="22"/>
      <c r="C1" s="4"/>
      <c r="D1" s="4"/>
      <c r="E1" s="4"/>
      <c r="G1" s="23"/>
      <c r="H1" s="23"/>
    </row>
    <row r="2" spans="2:10" ht="21" customHeight="1" thickBot="1" x14ac:dyDescent="0.35">
      <c r="B2" s="112" t="s">
        <v>421</v>
      </c>
      <c r="G2" s="266"/>
      <c r="H2" s="266" t="s">
        <v>422</v>
      </c>
    </row>
    <row r="3" spans="2:10" ht="15.75" customHeight="1" thickTop="1" x14ac:dyDescent="0.25">
      <c r="B3" s="129" t="s">
        <v>404</v>
      </c>
      <c r="C3" s="141" t="s">
        <v>423</v>
      </c>
      <c r="D3" s="141" t="str">
        <f>ProdPlan!C23</f>
        <v>1-yil</v>
      </c>
      <c r="E3" s="141" t="str">
        <f>ProdPlan!D23</f>
        <v>2-yil</v>
      </c>
      <c r="F3" s="141" t="str">
        <f>ProdPlan!E23</f>
        <v>3-yil</v>
      </c>
      <c r="G3" s="141" t="str">
        <f>ProdPlan!F23</f>
        <v>4-yil</v>
      </c>
      <c r="H3" s="310" t="str">
        <f>ProdPlan!G23</f>
        <v>5-yil</v>
      </c>
      <c r="I3" s="141" t="str">
        <f>ProdPlan!H23</f>
        <v>6-yil</v>
      </c>
      <c r="J3" s="141" t="str">
        <f>ProdPlan!I23</f>
        <v>7-yil</v>
      </c>
    </row>
    <row r="4" spans="2:10" ht="19.149999999999999" customHeight="1" x14ac:dyDescent="0.25">
      <c r="B4" s="114" t="s">
        <v>424</v>
      </c>
      <c r="C4" s="25">
        <v>0</v>
      </c>
      <c r="D4" s="479">
        <f>ProfLoss!C4</f>
        <v>357777000000</v>
      </c>
      <c r="E4" s="479">
        <f>ProfLoss!D4</f>
        <v>383332500000</v>
      </c>
      <c r="F4" s="479">
        <f>ProfLoss!E4</f>
        <v>408888000000</v>
      </c>
      <c r="G4" s="479">
        <f>ProfLoss!F4</f>
        <v>434443500000</v>
      </c>
      <c r="H4" s="479">
        <f>ProfLoss!G4</f>
        <v>459999000000</v>
      </c>
      <c r="I4" s="479">
        <f>ProfLoss!H4</f>
        <v>485554500000</v>
      </c>
      <c r="J4" s="479">
        <f>ProfLoss!I4</f>
        <v>511110000000</v>
      </c>
    </row>
    <row r="5" spans="2:10" ht="15" hidden="1" customHeight="1" x14ac:dyDescent="0.25">
      <c r="B5" s="35" t="str">
        <f>ProfLoss!B5</f>
        <v>Налог на потребление ГСМ</v>
      </c>
      <c r="C5" s="30">
        <f>(C4*120%)/20%</f>
        <v>0</v>
      </c>
      <c r="D5" s="479">
        <f>ProfLoss!C5</f>
        <v>0</v>
      </c>
      <c r="E5" s="479">
        <f>ProfLoss!D5</f>
        <v>0</v>
      </c>
      <c r="F5" s="479">
        <f>ProfLoss!E5</f>
        <v>0</v>
      </c>
      <c r="G5" s="479">
        <f>ProfLoss!F5</f>
        <v>0</v>
      </c>
      <c r="H5" s="480"/>
      <c r="I5" s="480"/>
      <c r="J5" s="480"/>
    </row>
    <row r="6" spans="2:10" ht="15" hidden="1" customHeight="1" x14ac:dyDescent="0.25">
      <c r="B6" s="35"/>
      <c r="C6" s="26"/>
      <c r="D6" s="479"/>
      <c r="E6" s="479"/>
      <c r="F6" s="479"/>
      <c r="G6" s="479"/>
      <c r="H6" s="480"/>
      <c r="I6" s="480"/>
      <c r="J6" s="480"/>
    </row>
    <row r="7" spans="2:10" s="2" customFormat="1" ht="19.149999999999999" customHeight="1" x14ac:dyDescent="0.2">
      <c r="B7" s="142" t="s">
        <v>425</v>
      </c>
      <c r="C7" s="27">
        <f>C4-C6</f>
        <v>0</v>
      </c>
      <c r="D7" s="481">
        <f t="shared" ref="D7:J7" si="0">D4-D5-D6</f>
        <v>357777000000</v>
      </c>
      <c r="E7" s="481">
        <f t="shared" si="0"/>
        <v>383332500000</v>
      </c>
      <c r="F7" s="481">
        <f t="shared" si="0"/>
        <v>408888000000</v>
      </c>
      <c r="G7" s="481">
        <f t="shared" si="0"/>
        <v>434443500000</v>
      </c>
      <c r="H7" s="481">
        <f t="shared" si="0"/>
        <v>459999000000</v>
      </c>
      <c r="I7" s="481">
        <f t="shared" si="0"/>
        <v>485554500000</v>
      </c>
      <c r="J7" s="481">
        <f t="shared" si="0"/>
        <v>511110000000</v>
      </c>
    </row>
    <row r="8" spans="2:10" ht="30" customHeight="1" x14ac:dyDescent="0.25">
      <c r="B8" s="143" t="s">
        <v>426</v>
      </c>
      <c r="C8" s="28">
        <v>0</v>
      </c>
      <c r="D8" s="482">
        <f>CostSold!C10</f>
        <v>4911050515.7142859</v>
      </c>
      <c r="E8" s="482">
        <f>CostSold!D10</f>
        <v>4968213310.7142859</v>
      </c>
      <c r="F8" s="482">
        <f>CostSold!E10</f>
        <v>5025376105.7142859</v>
      </c>
      <c r="G8" s="482">
        <f>CostSold!F10</f>
        <v>5082538900.7142859</v>
      </c>
      <c r="H8" s="482">
        <f>CostSold!G10</f>
        <v>5139701695.7142859</v>
      </c>
      <c r="I8" s="482">
        <f>CostSold!H10</f>
        <v>5196864490.7142859</v>
      </c>
      <c r="J8" s="482">
        <f>CostSold!I10</f>
        <v>5254027285.7142859</v>
      </c>
    </row>
    <row r="9" spans="2:10" s="2" customFormat="1" ht="14.25" customHeight="1" x14ac:dyDescent="0.2">
      <c r="B9" s="144" t="s">
        <v>427</v>
      </c>
      <c r="C9" s="29">
        <f t="shared" ref="C9:J9" si="1">C7-C8</f>
        <v>0</v>
      </c>
      <c r="D9" s="483">
        <f t="shared" si="1"/>
        <v>352865949484.28571</v>
      </c>
      <c r="E9" s="483">
        <f t="shared" si="1"/>
        <v>378364286689.28571</v>
      </c>
      <c r="F9" s="483">
        <f t="shared" si="1"/>
        <v>403862623894.28571</v>
      </c>
      <c r="G9" s="483">
        <f t="shared" si="1"/>
        <v>429360961099.28571</v>
      </c>
      <c r="H9" s="483">
        <f t="shared" si="1"/>
        <v>454859298304.28571</v>
      </c>
      <c r="I9" s="483">
        <f t="shared" si="1"/>
        <v>480357635509.28571</v>
      </c>
      <c r="J9" s="483">
        <f t="shared" si="1"/>
        <v>505855972714.28571</v>
      </c>
    </row>
    <row r="10" spans="2:10" ht="19.149999999999999" customHeight="1" x14ac:dyDescent="0.25">
      <c r="B10" s="114" t="s">
        <v>395</v>
      </c>
      <c r="C10" s="25">
        <v>0</v>
      </c>
      <c r="D10" s="484">
        <f>Depreciate!E7</f>
        <v>21714285.714285713</v>
      </c>
      <c r="E10" s="484">
        <f>Depreciate!F7</f>
        <v>21714285.714285713</v>
      </c>
      <c r="F10" s="484">
        <f>Depreciate!G7</f>
        <v>21714285.714285713</v>
      </c>
      <c r="G10" s="484">
        <f>Depreciate!H7</f>
        <v>21714285.714285713</v>
      </c>
      <c r="H10" s="484">
        <f>Depreciate!I7</f>
        <v>21714285.714285713</v>
      </c>
      <c r="I10" s="484">
        <f>Depreciate!J7</f>
        <v>21714285.714285713</v>
      </c>
      <c r="J10" s="484">
        <f>Depreciate!K7</f>
        <v>21714285.714285713</v>
      </c>
    </row>
    <row r="11" spans="2:10" ht="19.149999999999999" customHeight="1" x14ac:dyDescent="0.25">
      <c r="B11" s="35" t="s">
        <v>397</v>
      </c>
      <c r="C11" s="30">
        <v>0</v>
      </c>
      <c r="D11" s="485">
        <f>CostSold!C15</f>
        <v>930220200</v>
      </c>
      <c r="E11" s="485">
        <f>CostSold!D15</f>
        <v>945553500</v>
      </c>
      <c r="F11" s="485">
        <f>CostSold!E15</f>
        <v>960886800</v>
      </c>
      <c r="G11" s="485">
        <f>CostSold!F15</f>
        <v>976220100</v>
      </c>
      <c r="H11" s="485">
        <f>CostSold!G15</f>
        <v>991553400</v>
      </c>
      <c r="I11" s="485">
        <f>CostSold!H15</f>
        <v>1006886700</v>
      </c>
      <c r="J11" s="485">
        <f>CostSold!I15</f>
        <v>1022220000</v>
      </c>
    </row>
    <row r="12" spans="2:10" ht="19.149999999999999" customHeight="1" x14ac:dyDescent="0.25">
      <c r="B12" s="35" t="s">
        <v>410</v>
      </c>
      <c r="C12" s="30">
        <v>0</v>
      </c>
      <c r="D12" s="485">
        <f>CostSold!C11+CostSold!C12</f>
        <v>16128000</v>
      </c>
      <c r="E12" s="485">
        <f>CostSold!D11+CostSold!D12</f>
        <v>16128000</v>
      </c>
      <c r="F12" s="485">
        <f>CostSold!E11+CostSold!E12</f>
        <v>16128000</v>
      </c>
      <c r="G12" s="485">
        <f>CostSold!F11+CostSold!F12</f>
        <v>16128000</v>
      </c>
      <c r="H12" s="485">
        <f>CostSold!G11+CostSold!G12</f>
        <v>16128000</v>
      </c>
      <c r="I12" s="485">
        <f>CostSold!H11+CostSold!H12</f>
        <v>16128000</v>
      </c>
      <c r="J12" s="485">
        <f>CostSold!I11+CostSold!I12</f>
        <v>16128000</v>
      </c>
    </row>
    <row r="13" spans="2:10" ht="19.149999999999999" customHeight="1" x14ac:dyDescent="0.25">
      <c r="B13" s="143" t="s">
        <v>411</v>
      </c>
      <c r="C13" s="28">
        <v>0</v>
      </c>
      <c r="D13" s="486">
        <f>ProfLoss!C11</f>
        <v>1737971600</v>
      </c>
      <c r="E13" s="486">
        <f>ProfLoss!D11</f>
        <v>1789085857.1428571</v>
      </c>
      <c r="F13" s="486">
        <f>ProfLoss!E11</f>
        <v>1840200114.2857141</v>
      </c>
      <c r="G13" s="486">
        <f>ProfLoss!F11</f>
        <v>1891314371.4285715</v>
      </c>
      <c r="H13" s="486">
        <f>ProfLoss!G11</f>
        <v>1942428628.5714285</v>
      </c>
      <c r="I13" s="486">
        <f>ProfLoss!H11</f>
        <v>1993542885.7142859</v>
      </c>
      <c r="J13" s="486">
        <f>ProfLoss!I11</f>
        <v>2044657142.8571429</v>
      </c>
    </row>
    <row r="14" spans="2:10" s="2" customFormat="1" ht="14.25" customHeight="1" x14ac:dyDescent="0.2">
      <c r="B14" s="144" t="s">
        <v>428</v>
      </c>
      <c r="C14" s="29">
        <f>C9+C10-C11-C12-C13</f>
        <v>0</v>
      </c>
      <c r="D14" s="483">
        <f t="shared" ref="D14:J14" si="2">D9-D11-D12-D13+D10</f>
        <v>350203343970</v>
      </c>
      <c r="E14" s="483">
        <f t="shared" si="2"/>
        <v>375635233617.85712</v>
      </c>
      <c r="F14" s="483">
        <f t="shared" si="2"/>
        <v>401067123265.71429</v>
      </c>
      <c r="G14" s="483">
        <f t="shared" si="2"/>
        <v>426499012913.57141</v>
      </c>
      <c r="H14" s="483">
        <f t="shared" si="2"/>
        <v>451930902561.42859</v>
      </c>
      <c r="I14" s="483">
        <f t="shared" si="2"/>
        <v>477362792209.28571</v>
      </c>
      <c r="J14" s="483">
        <f t="shared" si="2"/>
        <v>502794681857.14288</v>
      </c>
    </row>
    <row r="15" spans="2:10" ht="15" hidden="1" customHeight="1" x14ac:dyDescent="0.25">
      <c r="B15" s="114" t="s">
        <v>429</v>
      </c>
      <c r="C15" s="31">
        <f>FinPlan!E5</f>
        <v>52000000</v>
      </c>
      <c r="D15" s="484">
        <v>0</v>
      </c>
      <c r="E15" s="484"/>
      <c r="F15" s="484"/>
      <c r="G15" s="484"/>
      <c r="H15" s="487"/>
      <c r="I15" s="487"/>
      <c r="J15" s="487"/>
    </row>
    <row r="16" spans="2:10" ht="15" hidden="1" customHeight="1" x14ac:dyDescent="0.25">
      <c r="B16" s="35" t="s">
        <v>430</v>
      </c>
      <c r="C16" s="32">
        <f>'Share of Costs'!G6</f>
        <v>150000000</v>
      </c>
      <c r="D16" s="479"/>
      <c r="E16" s="479"/>
      <c r="F16" s="479"/>
      <c r="G16" s="479"/>
      <c r="H16" s="480"/>
      <c r="I16" s="480"/>
      <c r="J16" s="480"/>
    </row>
    <row r="17" spans="2:10" ht="15" hidden="1" customHeight="1" x14ac:dyDescent="0.25">
      <c r="B17" s="35" t="s">
        <v>431</v>
      </c>
      <c r="C17" s="32">
        <f>'Share of Costs'!C10</f>
        <v>2000000</v>
      </c>
      <c r="D17" s="485"/>
      <c r="E17" s="485"/>
      <c r="F17" s="485"/>
      <c r="G17" s="485"/>
      <c r="H17" s="488"/>
      <c r="I17" s="488"/>
      <c r="J17" s="488"/>
    </row>
    <row r="18" spans="2:10" s="510" customFormat="1" x14ac:dyDescent="0.25">
      <c r="B18" s="458" t="s">
        <v>432</v>
      </c>
      <c r="C18" s="459"/>
      <c r="D18" s="479">
        <f>CostSold!C19</f>
        <v>18000000</v>
      </c>
      <c r="E18" s="479">
        <f>CostSold!D19</f>
        <v>18000000</v>
      </c>
      <c r="F18" s="479">
        <f>CostSold!E19</f>
        <v>17100000</v>
      </c>
      <c r="G18" s="479">
        <f>CostSold!F19</f>
        <v>13649999.999999985</v>
      </c>
      <c r="H18" s="479">
        <f>CostSold!G19</f>
        <v>10724999.999999985</v>
      </c>
      <c r="I18" s="479">
        <f>CostSold!H19</f>
        <v>6449999.9999999888</v>
      </c>
      <c r="J18" s="479">
        <f>CostSold!I19</f>
        <v>2849999.9999999893</v>
      </c>
    </row>
    <row r="19" spans="2:10" x14ac:dyDescent="0.25">
      <c r="B19" s="143" t="s">
        <v>433</v>
      </c>
      <c r="C19" s="28">
        <v>0</v>
      </c>
      <c r="D19" s="486">
        <f>ProfLoss!C15+ProfLoss!C16</f>
        <v>14311080000</v>
      </c>
      <c r="E19" s="486">
        <f>ProfLoss!D15+ProfLoss!D16</f>
        <v>15333300000</v>
      </c>
      <c r="F19" s="486">
        <f>ProfLoss!E15+ProfLoss!E16</f>
        <v>16355520000</v>
      </c>
      <c r="G19" s="486">
        <f>ProfLoss!F15+ProfLoss!F16</f>
        <v>17377740000</v>
      </c>
      <c r="H19" s="486">
        <f>ProfLoss!G15+ProfLoss!G16</f>
        <v>18399960000</v>
      </c>
      <c r="I19" s="486">
        <f>ProfLoss!H15+ProfLoss!H16</f>
        <v>19422180000</v>
      </c>
      <c r="J19" s="486">
        <f>ProfLoss!I15+ProfLoss!I16</f>
        <v>20444400000</v>
      </c>
    </row>
    <row r="20" spans="2:10" s="2" customFormat="1" ht="14.25" customHeight="1" x14ac:dyDescent="0.2">
      <c r="B20" s="144" t="s">
        <v>434</v>
      </c>
      <c r="C20" s="29">
        <f>C14+C15-C16-C17-C18-C19</f>
        <v>-100000000</v>
      </c>
      <c r="D20" s="483">
        <f>D14+D15-D16-D17-D18-D19</f>
        <v>335874263970</v>
      </c>
      <c r="E20" s="483">
        <f t="shared" ref="E20:J20" si="3">E14-E15-E16-E17-E18-E19</f>
        <v>360283933617.85712</v>
      </c>
      <c r="F20" s="483">
        <f t="shared" si="3"/>
        <v>384694503265.71429</v>
      </c>
      <c r="G20" s="483">
        <f t="shared" si="3"/>
        <v>409107622913.57141</v>
      </c>
      <c r="H20" s="483">
        <f t="shared" si="3"/>
        <v>433520217561.42859</v>
      </c>
      <c r="I20" s="483">
        <f t="shared" si="3"/>
        <v>457934162209.28571</v>
      </c>
      <c r="J20" s="483">
        <f t="shared" si="3"/>
        <v>482347431857.14288</v>
      </c>
    </row>
    <row r="21" spans="2:10" s="2" customFormat="1" ht="15" hidden="1" customHeight="1" x14ac:dyDescent="0.25">
      <c r="B21" s="145"/>
      <c r="C21" s="164"/>
      <c r="D21" s="489"/>
      <c r="E21" s="489"/>
      <c r="F21" s="489"/>
      <c r="G21" s="489"/>
      <c r="H21" s="490"/>
      <c r="I21" s="490"/>
      <c r="J21" s="490"/>
    </row>
    <row r="22" spans="2:10" s="510" customFormat="1" x14ac:dyDescent="0.25">
      <c r="B22" s="460" t="s">
        <v>435</v>
      </c>
      <c r="C22" s="461"/>
      <c r="D22" s="484">
        <f>SUM(Loans!C12:C23)</f>
        <v>0</v>
      </c>
      <c r="E22" s="484">
        <f>SUM(Loans!C24:C35)</f>
        <v>0</v>
      </c>
      <c r="F22" s="484">
        <f>SUM(Loans!C36:C47)</f>
        <v>20000000</v>
      </c>
      <c r="G22" s="485">
        <f>SUM(Loans!C48:C59)</f>
        <v>20000000</v>
      </c>
      <c r="H22" s="484">
        <f>SUM(Loans!C60:C71)</f>
        <v>20000000</v>
      </c>
      <c r="I22" s="484">
        <f>SUM(Loans!C72:C83)</f>
        <v>20000000</v>
      </c>
      <c r="J22" s="484">
        <f>SUM(Loans!C84:C95)</f>
        <v>20000000</v>
      </c>
    </row>
    <row r="23" spans="2:10" s="2" customFormat="1" ht="28.5" customHeight="1" x14ac:dyDescent="0.2">
      <c r="B23" s="142" t="s">
        <v>436</v>
      </c>
      <c r="C23" s="27">
        <f t="shared" ref="C23:J23" si="4">C20-C22</f>
        <v>-100000000</v>
      </c>
      <c r="D23" s="491">
        <f t="shared" si="4"/>
        <v>335874263970</v>
      </c>
      <c r="E23" s="491">
        <f t="shared" si="4"/>
        <v>360283933617.85712</v>
      </c>
      <c r="F23" s="491">
        <f t="shared" si="4"/>
        <v>384674503265.71429</v>
      </c>
      <c r="G23" s="491">
        <f t="shared" si="4"/>
        <v>409087622913.57141</v>
      </c>
      <c r="H23" s="491">
        <f t="shared" si="4"/>
        <v>433500217561.42859</v>
      </c>
      <c r="I23" s="491">
        <f t="shared" si="4"/>
        <v>457914162209.28571</v>
      </c>
      <c r="J23" s="491">
        <f t="shared" si="4"/>
        <v>482327431857.14288</v>
      </c>
    </row>
    <row r="24" spans="2:10" ht="19.149999999999999" customHeight="1" x14ac:dyDescent="0.25">
      <c r="B24" s="143" t="s">
        <v>437</v>
      </c>
      <c r="C24" s="33">
        <f>-C23</f>
        <v>100000000</v>
      </c>
      <c r="D24" s="486"/>
      <c r="E24" s="486"/>
      <c r="F24" s="486"/>
      <c r="G24" s="486"/>
      <c r="H24" s="492"/>
      <c r="I24" s="492"/>
      <c r="J24" s="492"/>
    </row>
    <row r="25" spans="2:10" s="2" customFormat="1" ht="14.25" hidden="1" customHeight="1" x14ac:dyDescent="0.2">
      <c r="B25" s="144" t="s">
        <v>438</v>
      </c>
      <c r="C25" s="29">
        <f>C23+C24</f>
        <v>0</v>
      </c>
      <c r="D25" s="483">
        <f>D23-D24</f>
        <v>335874263970</v>
      </c>
      <c r="E25" s="483">
        <f>E23-E24</f>
        <v>360283933617.85712</v>
      </c>
      <c r="F25" s="483">
        <f>F23-F24</f>
        <v>384674503265.71429</v>
      </c>
      <c r="G25" s="483">
        <f>G23-G24</f>
        <v>409087622913.57141</v>
      </c>
      <c r="H25" s="493"/>
      <c r="I25" s="493"/>
      <c r="J25" s="493"/>
    </row>
    <row r="26" spans="2:10" s="17" customFormat="1" x14ac:dyDescent="0.25">
      <c r="B26" s="145" t="s">
        <v>439</v>
      </c>
      <c r="C26" s="167">
        <f>C25</f>
        <v>0</v>
      </c>
      <c r="D26" s="494">
        <f t="shared" ref="D26:J26" si="5">D23+C26</f>
        <v>335874263970</v>
      </c>
      <c r="E26" s="494">
        <f t="shared" si="5"/>
        <v>696158197587.85718</v>
      </c>
      <c r="F26" s="494">
        <f t="shared" si="5"/>
        <v>1080832700853.5715</v>
      </c>
      <c r="G26" s="494">
        <f t="shared" si="5"/>
        <v>1489920323767.1431</v>
      </c>
      <c r="H26" s="494">
        <f t="shared" si="5"/>
        <v>1923420541328.5718</v>
      </c>
      <c r="I26" s="494">
        <f t="shared" si="5"/>
        <v>2381334703537.8574</v>
      </c>
      <c r="J26" s="494">
        <f t="shared" si="5"/>
        <v>2863662135395.0005</v>
      </c>
    </row>
    <row r="27" spans="2:10" ht="15.75" customHeight="1" thickBot="1" x14ac:dyDescent="0.3">
      <c r="B27" s="165" t="s">
        <v>440</v>
      </c>
      <c r="C27" s="166"/>
      <c r="D27" s="495" t="s">
        <v>441</v>
      </c>
      <c r="E27" s="495" t="s">
        <v>441</v>
      </c>
      <c r="F27" s="495">
        <f>(F14-F19)/(F18+F22)</f>
        <v>10369.584993685021</v>
      </c>
      <c r="G27" s="495">
        <f>(G14-G19)/(G18+G22)</f>
        <v>12158.13589639143</v>
      </c>
      <c r="H27" s="495">
        <f>(H14-H19)/(H18+H22)</f>
        <v>14110.038814041622</v>
      </c>
      <c r="I27" s="495">
        <f>(I14-I19)/(I18+I22)</f>
        <v>17313.444696003247</v>
      </c>
      <c r="J27" s="495">
        <f>(J14-J19)/(J18+J22)</f>
        <v>21109.421525476722</v>
      </c>
    </row>
    <row r="28" spans="2:10" ht="15.75" customHeight="1" thickTop="1" x14ac:dyDescent="0.25"/>
  </sheetData>
  <printOptions horizontalCentered="1" verticalCentered="1"/>
  <pageMargins left="0.39370078740157483" right="0.39370078740157483" top="0.39370078740157483" bottom="0.39370078740157483" header="0.51181102362204722" footer="0.39370078740157483"/>
  <pageSetup paperSize="9" scale="9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87"/>
  <sheetViews>
    <sheetView view="pageBreakPreview" zoomScale="84" zoomScaleNormal="150" zoomScaleSheetLayoutView="84" workbookViewId="0">
      <selection activeCell="C15" sqref="C15"/>
    </sheetView>
  </sheetViews>
  <sheetFormatPr defaultColWidth="8" defaultRowHeight="12.75" x14ac:dyDescent="0.2"/>
  <cols>
    <col min="1" max="1" width="4.75" style="168" customWidth="1"/>
    <col min="2" max="2" width="15.5" style="504" customWidth="1"/>
    <col min="3" max="3" width="44.75" style="516" bestFit="1" customWidth="1"/>
    <col min="4" max="4" width="12.625" style="517" customWidth="1"/>
    <col min="5" max="5" width="18.375" style="516" customWidth="1"/>
    <col min="6" max="6" width="10.625" style="516" customWidth="1"/>
    <col min="7" max="7" width="7.75" style="516" customWidth="1"/>
    <col min="8" max="8" width="8" style="504" customWidth="1"/>
    <col min="9" max="9" width="12.5" style="504" customWidth="1"/>
    <col min="10" max="42" width="8" style="504" customWidth="1"/>
    <col min="43" max="16384" width="8" style="504"/>
  </cols>
  <sheetData>
    <row r="3" spans="2:6" ht="15" customHeight="1" x14ac:dyDescent="0.25">
      <c r="D3" s="23"/>
      <c r="E3" s="268" t="s">
        <v>442</v>
      </c>
    </row>
    <row r="4" spans="2:6" ht="16.5" customHeight="1" x14ac:dyDescent="0.2">
      <c r="B4" s="540" t="s">
        <v>443</v>
      </c>
      <c r="C4" s="541"/>
      <c r="D4" s="542"/>
      <c r="E4" s="541"/>
    </row>
    <row r="5" spans="2:6" ht="101.25" customHeight="1" x14ac:dyDescent="0.2">
      <c r="B5" s="496" t="s">
        <v>444</v>
      </c>
      <c r="C5" s="496" t="s">
        <v>434</v>
      </c>
      <c r="D5" s="496" t="s">
        <v>445</v>
      </c>
      <c r="E5" s="496" t="s">
        <v>446</v>
      </c>
    </row>
    <row r="6" spans="2:6" x14ac:dyDescent="0.2">
      <c r="B6" s="496" t="s">
        <v>447</v>
      </c>
      <c r="C6" s="497">
        <f>[2]ProjCost!F13*(-1)</f>
        <v>-408000000</v>
      </c>
      <c r="D6" s="496"/>
      <c r="E6" s="496"/>
    </row>
    <row r="7" spans="2:6" x14ac:dyDescent="0.2">
      <c r="B7" s="496" t="s">
        <v>142</v>
      </c>
      <c r="C7" s="497">
        <f>[2]CashFlow!D14</f>
        <v>243262530</v>
      </c>
      <c r="D7" s="506">
        <f>1/1.135</f>
        <v>0.88105726872246692</v>
      </c>
      <c r="E7" s="498">
        <f t="shared" ref="E7:E13" si="0">C7*D7</f>
        <v>214328220.26431718</v>
      </c>
      <c r="F7" s="518"/>
    </row>
    <row r="8" spans="2:6" x14ac:dyDescent="0.2">
      <c r="B8" s="496" t="s">
        <v>143</v>
      </c>
      <c r="C8" s="497">
        <f>+[2]CashFlow!E14</f>
        <v>253234584</v>
      </c>
      <c r="D8" s="506">
        <f>D7/1.135</f>
        <v>0.77626191076869333</v>
      </c>
      <c r="E8" s="498">
        <f t="shared" si="0"/>
        <v>196576362.04855517</v>
      </c>
      <c r="F8" s="518"/>
    </row>
    <row r="9" spans="2:6" x14ac:dyDescent="0.2">
      <c r="B9" s="496" t="s">
        <v>144</v>
      </c>
      <c r="C9" s="497">
        <f>+[2]CashFlow!F14</f>
        <v>259882620</v>
      </c>
      <c r="D9" s="506">
        <f>D8/1.135</f>
        <v>0.68393119891514831</v>
      </c>
      <c r="E9" s="498">
        <f t="shared" si="0"/>
        <v>177741831.8738099</v>
      </c>
      <c r="F9" s="518"/>
    </row>
    <row r="10" spans="2:6" x14ac:dyDescent="0.2">
      <c r="B10" s="496" t="s">
        <v>145</v>
      </c>
      <c r="C10" s="497">
        <f>+[2]CashFlow!G14</f>
        <v>276502710</v>
      </c>
      <c r="D10" s="506">
        <f>D9/1.135</f>
        <v>0.60258255411026285</v>
      </c>
      <c r="E10" s="498">
        <f t="shared" si="0"/>
        <v>166615709.21020931</v>
      </c>
      <c r="F10" s="518"/>
    </row>
    <row r="11" spans="2:6" x14ac:dyDescent="0.2">
      <c r="B11" s="496" t="s">
        <v>146</v>
      </c>
      <c r="C11" s="497">
        <f>[2]CashFlow!H14</f>
        <v>293122800</v>
      </c>
      <c r="D11" s="506">
        <f>D10/1.135</f>
        <v>0.53090973930419638</v>
      </c>
      <c r="E11" s="498">
        <f t="shared" si="0"/>
        <v>155621749.3321161</v>
      </c>
      <c r="F11" s="518"/>
    </row>
    <row r="12" spans="2:6" x14ac:dyDescent="0.2">
      <c r="B12" s="496" t="s">
        <v>147</v>
      </c>
      <c r="C12" s="497">
        <f>[2]CashFlow!I14</f>
        <v>0</v>
      </c>
      <c r="D12" s="506">
        <f>D11/1.135</f>
        <v>0.4677618848495122</v>
      </c>
      <c r="E12" s="498">
        <f t="shared" si="0"/>
        <v>0</v>
      </c>
      <c r="F12" s="518"/>
    </row>
    <row r="13" spans="2:6" x14ac:dyDescent="0.2">
      <c r="B13" s="496" t="s">
        <v>148</v>
      </c>
      <c r="C13" s="497"/>
      <c r="D13" s="506"/>
      <c r="E13" s="498">
        <f t="shared" si="0"/>
        <v>0</v>
      </c>
      <c r="F13" s="518"/>
    </row>
    <row r="14" spans="2:6" x14ac:dyDescent="0.2">
      <c r="B14" s="470"/>
      <c r="C14" s="496" t="s">
        <v>448</v>
      </c>
      <c r="D14" s="496" t="s">
        <v>449</v>
      </c>
      <c r="E14" s="498">
        <f>SUM(E7:E11)</f>
        <v>910883872.72900772</v>
      </c>
      <c r="F14" s="518"/>
    </row>
    <row r="15" spans="2:6" x14ac:dyDescent="0.2">
      <c r="B15" s="470"/>
      <c r="C15" s="496" t="s">
        <v>447</v>
      </c>
      <c r="D15" s="496" t="s">
        <v>450</v>
      </c>
      <c r="E15" s="497">
        <f>C6</f>
        <v>-408000000</v>
      </c>
      <c r="F15" s="518"/>
    </row>
    <row r="16" spans="2:6" x14ac:dyDescent="0.2">
      <c r="B16" s="470"/>
      <c r="C16" s="470" t="s">
        <v>451</v>
      </c>
      <c r="D16" s="496" t="s">
        <v>452</v>
      </c>
      <c r="E16" s="498">
        <f>E14+E15</f>
        <v>502883872.72900772</v>
      </c>
    </row>
    <row r="17" spans="2:5" x14ac:dyDescent="0.2">
      <c r="B17" s="470"/>
      <c r="C17" s="470" t="s">
        <v>453</v>
      </c>
      <c r="D17" s="496" t="s">
        <v>454</v>
      </c>
      <c r="E17" s="499">
        <f>E16/E15+1</f>
        <v>-0.23255851159070517</v>
      </c>
    </row>
    <row r="18" spans="2:5" x14ac:dyDescent="0.2">
      <c r="B18" s="470"/>
      <c r="C18" s="470" t="s">
        <v>455</v>
      </c>
      <c r="D18" s="496" t="s">
        <v>456</v>
      </c>
      <c r="E18" s="500">
        <f>IRR(C6:C13,0.09)</f>
        <v>0.55806793448788805</v>
      </c>
    </row>
    <row r="19" spans="2:5" ht="25.5" customHeight="1" x14ac:dyDescent="0.2">
      <c r="B19" s="470"/>
      <c r="C19" s="309" t="s">
        <v>457</v>
      </c>
      <c r="D19" s="496" t="s">
        <v>458</v>
      </c>
      <c r="E19" s="498" t="str">
        <f>[2]Loans!D3</f>
        <v>60 oy</v>
      </c>
    </row>
    <row r="20" spans="2:5" ht="15.75" customHeight="1" x14ac:dyDescent="0.2">
      <c r="E20" s="169"/>
    </row>
    <row r="22" spans="2:5" ht="15.75" customHeight="1" x14ac:dyDescent="0.2"/>
    <row r="24" spans="2:5" ht="15.75" customHeight="1" x14ac:dyDescent="0.2"/>
    <row r="26" spans="2:5" ht="15.75" customHeight="1" x14ac:dyDescent="0.2"/>
    <row r="28" spans="2:5" ht="15.75" customHeight="1" x14ac:dyDescent="0.2"/>
    <row r="30" spans="2:5" ht="15.75" customHeight="1" x14ac:dyDescent="0.2"/>
    <row r="32" spans="2:5" ht="15.75" customHeight="1" x14ac:dyDescent="0.2"/>
    <row r="34" ht="15.75" customHeight="1" x14ac:dyDescent="0.2"/>
    <row r="36" ht="15.75" customHeight="1" x14ac:dyDescent="0.2"/>
    <row r="38" ht="15.75" customHeight="1" x14ac:dyDescent="0.2"/>
    <row r="42" ht="15.75" customHeight="1" x14ac:dyDescent="0.2"/>
    <row r="44" ht="15.75" customHeight="1" x14ac:dyDescent="0.2"/>
    <row r="46" ht="15.75" customHeight="1" x14ac:dyDescent="0.2"/>
    <row r="48" ht="15.75" customHeight="1" x14ac:dyDescent="0.2"/>
    <row r="50" ht="15.75" customHeight="1" x14ac:dyDescent="0.2"/>
    <row r="54" ht="15.75" customHeight="1" x14ac:dyDescent="0.2"/>
    <row r="56" ht="15.75" customHeight="1" x14ac:dyDescent="0.2"/>
    <row r="58" ht="15.75" customHeight="1" x14ac:dyDescent="0.2"/>
    <row r="60" ht="15.75" customHeight="1" x14ac:dyDescent="0.2"/>
    <row r="65" ht="15.75" customHeight="1" x14ac:dyDescent="0.2"/>
    <row r="67" ht="15.75" customHeight="1" x14ac:dyDescent="0.2"/>
    <row r="69" ht="15.75" customHeight="1" x14ac:dyDescent="0.2"/>
    <row r="72" ht="15.75" customHeight="1" x14ac:dyDescent="0.2"/>
    <row r="74" ht="15.75" customHeight="1" x14ac:dyDescent="0.2"/>
    <row r="76" ht="15.75" customHeight="1" x14ac:dyDescent="0.2"/>
    <row r="81" ht="15.75" customHeight="1" x14ac:dyDescent="0.2"/>
    <row r="83" ht="15.75" customHeight="1" x14ac:dyDescent="0.2"/>
    <row r="85" ht="15.75" customHeight="1" x14ac:dyDescent="0.2"/>
    <row r="87" ht="15.75" customHeight="1" x14ac:dyDescent="0.2"/>
  </sheetData>
  <mergeCells count="1">
    <mergeCell ref="B4:E4"/>
  </mergeCells>
  <printOptions horizontalCentered="1" verticalCentered="1"/>
  <pageMargins left="0.23622047244094491" right="0.19685039370078741" top="0.39370078740157483" bottom="0.39370078740157483" header="0.51181102362204722" footer="0.51181102362204722"/>
  <pageSetup paperSize="9" scale="140" orientation="landscape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13</vt:i4>
      </vt:variant>
    </vt:vector>
  </HeadingPairs>
  <TitlesOfParts>
    <vt:vector size="28" baseType="lpstr">
      <vt:lpstr>ВВОД</vt:lpstr>
      <vt:lpstr>ProjCost</vt:lpstr>
      <vt:lpstr>FinPlan</vt:lpstr>
      <vt:lpstr>Share of Costs</vt:lpstr>
      <vt:lpstr>Depreciate</vt:lpstr>
      <vt:lpstr>Labour</vt:lpstr>
      <vt:lpstr>ProdPlan</vt:lpstr>
      <vt:lpstr>Loans</vt:lpstr>
      <vt:lpstr>Taxes</vt:lpstr>
      <vt:lpstr>Loans 2</vt:lpstr>
      <vt:lpstr>CostTotal</vt:lpstr>
      <vt:lpstr>CostSold</vt:lpstr>
      <vt:lpstr>ProfLoss</vt:lpstr>
      <vt:lpstr>CashFlow</vt:lpstr>
      <vt:lpstr>npv</vt:lpstr>
      <vt:lpstr>CashFlow!Print_Area</vt:lpstr>
      <vt:lpstr>CostSold!Print_Area</vt:lpstr>
      <vt:lpstr>CostTotal!Print_Area</vt:lpstr>
      <vt:lpstr>Depreciate!Print_Area</vt:lpstr>
      <vt:lpstr>FinPlan!Print_Area</vt:lpstr>
      <vt:lpstr>Labour!Print_Area</vt:lpstr>
      <vt:lpstr>Loans!Print_Area</vt:lpstr>
      <vt:lpstr>npv!Print_Area</vt:lpstr>
      <vt:lpstr>ProdPlan!Print_Area</vt:lpstr>
      <vt:lpstr>ProfLoss!Print_Area</vt:lpstr>
      <vt:lpstr>ProjCost!Print_Area</vt:lpstr>
      <vt:lpstr>'Share of Costs'!Print_Area</vt:lpstr>
      <vt:lpstr>Taxes!Print_Area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Хайдаров У</dc:creator>
  <cp:lastModifiedBy>2025</cp:lastModifiedBy>
  <cp:lastPrinted>2026-04-06T07:51:16Z</cp:lastPrinted>
  <dcterms:created xsi:type="dcterms:W3CDTF">1999-09-15T12:13:17Z</dcterms:created>
  <dcterms:modified xsi:type="dcterms:W3CDTF">2026-04-07T17:49:51Z</dcterms:modified>
</cp:coreProperties>
</file>